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HTZDWorking\matlab_python_verilog_code\openofdm_main\openofdm\docs\source\files\"/>
    </mc:Choice>
  </mc:AlternateContent>
  <xr:revisionPtr revIDLastSave="0" documentId="13_ncr:1_{D8A80624-3FF7-452F-9B6E-076EE6BEECA2}" xr6:coauthVersionLast="47" xr6:coauthVersionMax="47" xr10:uidLastSave="{00000000-0000-0000-0000-000000000000}"/>
  <bookViews>
    <workbookView xWindow="-4890" yWindow="-21720" windowWidth="38640" windowHeight="21120" activeTab="1" xr2:uid="{00000000-000D-0000-FFFF-FFFF00000000}"/>
  </bookViews>
  <sheets>
    <sheet name="国网小无线参数" sheetId="2" r:id="rId1"/>
    <sheet name="IEEE 802.11 agn物理层参数" sheetId="11" r:id="rId2"/>
    <sheet name="IEEE 802.11 agn物理层数据速率" sheetId="13" r:id="rId3"/>
    <sheet name="信道划分" sheetId="5" r:id="rId4"/>
    <sheet name="PHR和PSDU的数据速率" sheetId="4" r:id="rId5"/>
    <sheet name="性能限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3" l="1"/>
  <c r="H25" i="13" s="1"/>
  <c r="E3" i="13"/>
  <c r="F3" i="13" s="1"/>
  <c r="H3" i="13" s="1"/>
  <c r="E4" i="13"/>
  <c r="F4" i="13" s="1"/>
  <c r="H4" i="13" s="1"/>
  <c r="E5" i="13"/>
  <c r="F5" i="13" s="1"/>
  <c r="H5" i="13" s="1"/>
  <c r="E6" i="13"/>
  <c r="F6" i="13" s="1"/>
  <c r="H6" i="13" s="1"/>
  <c r="E7" i="13"/>
  <c r="F7" i="13" s="1"/>
  <c r="H7" i="13" s="1"/>
  <c r="E8" i="13"/>
  <c r="F8" i="13" s="1"/>
  <c r="H8" i="13" s="1"/>
  <c r="E9" i="13"/>
  <c r="F9" i="13" s="1"/>
  <c r="H9" i="13" s="1"/>
  <c r="E10" i="13"/>
  <c r="F10" i="13" s="1"/>
  <c r="H10" i="13" s="1"/>
  <c r="E11" i="13"/>
  <c r="F11" i="13" s="1"/>
  <c r="H11" i="13" s="1"/>
  <c r="E12" i="13"/>
  <c r="F12" i="13" s="1"/>
  <c r="H12" i="13" s="1"/>
  <c r="E13" i="13"/>
  <c r="F13" i="13" s="1"/>
  <c r="H13" i="13" s="1"/>
  <c r="E14" i="13"/>
  <c r="F14" i="13" s="1"/>
  <c r="H14" i="13" s="1"/>
  <c r="E15" i="13"/>
  <c r="F15" i="13" s="1"/>
  <c r="H15" i="13" s="1"/>
  <c r="E16" i="13"/>
  <c r="F16" i="13" s="1"/>
  <c r="H16" i="13" s="1"/>
  <c r="E17" i="13"/>
  <c r="F17" i="13" s="1"/>
  <c r="H17" i="13" s="1"/>
  <c r="E18" i="13"/>
  <c r="F18" i="13" s="1"/>
  <c r="H18" i="13" s="1"/>
  <c r="E19" i="13"/>
  <c r="F19" i="13" s="1"/>
  <c r="H19" i="13" s="1"/>
  <c r="E20" i="13"/>
  <c r="F20" i="13" s="1"/>
  <c r="H20" i="13" s="1"/>
  <c r="E21" i="13"/>
  <c r="F21" i="13" s="1"/>
  <c r="H21" i="13" s="1"/>
  <c r="E22" i="13"/>
  <c r="F22" i="13" s="1"/>
  <c r="H22" i="13" s="1"/>
  <c r="E23" i="13"/>
  <c r="F23" i="13" s="1"/>
  <c r="H23" i="13" s="1"/>
  <c r="E24" i="13"/>
  <c r="F24" i="13" s="1"/>
  <c r="H24" i="13" s="1"/>
  <c r="E25" i="13"/>
  <c r="E2" i="13"/>
  <c r="F2" i="13" s="1"/>
  <c r="H2" i="13" s="1"/>
  <c r="D4" i="11"/>
  <c r="D12" i="11" s="1"/>
  <c r="D16" i="11" s="1"/>
  <c r="C4" i="11"/>
  <c r="C12" i="11" s="1"/>
  <c r="C16" i="11" s="1"/>
  <c r="B4" i="11"/>
  <c r="B12" i="11" s="1"/>
  <c r="B16" i="11" s="1"/>
  <c r="B6" i="11"/>
  <c r="B8" i="11" s="1"/>
  <c r="B28" i="11"/>
  <c r="B29" i="11" s="1"/>
  <c r="B35" i="11"/>
  <c r="D35" i="11"/>
  <c r="C35" i="11"/>
  <c r="D28" i="11"/>
  <c r="D29" i="11" s="1"/>
  <c r="C28" i="11"/>
  <c r="C29" i="11" s="1"/>
  <c r="F18" i="9"/>
  <c r="H18" i="9" s="1"/>
  <c r="D18" i="9"/>
  <c r="F17" i="9"/>
  <c r="H17" i="9" s="1"/>
  <c r="D17" i="9"/>
  <c r="F16" i="9"/>
  <c r="H16" i="9" s="1"/>
  <c r="D16" i="9"/>
  <c r="F15" i="9"/>
  <c r="H15" i="9" s="1"/>
  <c r="D15" i="9"/>
  <c r="F14" i="9"/>
  <c r="H14" i="9" s="1"/>
  <c r="D14" i="9"/>
  <c r="F13" i="9"/>
  <c r="H13" i="9" s="1"/>
  <c r="D13" i="9"/>
  <c r="F12" i="9"/>
  <c r="H12" i="9" s="1"/>
  <c r="I12" i="9" s="1"/>
  <c r="D12" i="9"/>
  <c r="F7" i="9"/>
  <c r="H7" i="9" s="1"/>
  <c r="F9" i="9"/>
  <c r="H9" i="9" s="1"/>
  <c r="F8" i="9"/>
  <c r="H8" i="9" s="1"/>
  <c r="F6" i="9"/>
  <c r="H6" i="9" s="1"/>
  <c r="F5" i="9"/>
  <c r="H5" i="9" s="1"/>
  <c r="F4" i="9"/>
  <c r="H4" i="9" s="1"/>
  <c r="F3" i="9"/>
  <c r="H3" i="9" s="1"/>
  <c r="D4" i="9"/>
  <c r="D5" i="9"/>
  <c r="D6" i="9"/>
  <c r="D7" i="9"/>
  <c r="D8" i="9"/>
  <c r="D9" i="9"/>
  <c r="D3" i="9"/>
  <c r="E17" i="4"/>
  <c r="H17" i="4" s="1"/>
  <c r="E19" i="4"/>
  <c r="F19" i="4" s="1"/>
  <c r="E18" i="4"/>
  <c r="F18" i="4" s="1"/>
  <c r="E16" i="4"/>
  <c r="F16" i="4" s="1"/>
  <c r="E15" i="4"/>
  <c r="H15" i="4" s="1"/>
  <c r="E14" i="4"/>
  <c r="G14" i="4" s="1"/>
  <c r="E13" i="4"/>
  <c r="F13" i="4" s="1"/>
  <c r="E8" i="4"/>
  <c r="H8" i="4" s="1"/>
  <c r="H6" i="4"/>
  <c r="H7" i="4"/>
  <c r="G3" i="4"/>
  <c r="G4" i="4"/>
  <c r="F6" i="4"/>
  <c r="E9" i="4"/>
  <c r="E4" i="4"/>
  <c r="E5" i="4"/>
  <c r="G5" i="4" s="1"/>
  <c r="E6" i="4"/>
  <c r="G6" i="4" s="1"/>
  <c r="E7" i="4"/>
  <c r="G7" i="4" s="1"/>
  <c r="E3" i="4"/>
  <c r="H3" i="4" s="1"/>
  <c r="D24" i="2"/>
  <c r="E24" i="2"/>
  <c r="C24" i="2"/>
  <c r="E17" i="2"/>
  <c r="E18" i="2" s="1"/>
  <c r="D17" i="2"/>
  <c r="D18" i="2" s="1"/>
  <c r="C17" i="2"/>
  <c r="E19" i="2" s="1"/>
  <c r="B15" i="11" l="1"/>
  <c r="B17" i="11" s="1"/>
  <c r="B13" i="11"/>
  <c r="B14" i="11" s="1"/>
  <c r="C13" i="11"/>
  <c r="C14" i="11" s="1"/>
  <c r="C15" i="11"/>
  <c r="C17" i="11" s="1"/>
  <c r="D15" i="11"/>
  <c r="D17" i="11" s="1"/>
  <c r="D13" i="11"/>
  <c r="D14" i="11"/>
  <c r="D30" i="11"/>
  <c r="B30" i="11"/>
  <c r="B34" i="11"/>
  <c r="B36" i="11"/>
  <c r="B32" i="11"/>
  <c r="C30" i="11"/>
  <c r="C36" i="11"/>
  <c r="C34" i="11"/>
  <c r="C32" i="11"/>
  <c r="D34" i="11"/>
  <c r="D32" i="11"/>
  <c r="D36" i="11"/>
  <c r="I8" i="9"/>
  <c r="I9" i="9"/>
  <c r="I5" i="9"/>
  <c r="I7" i="9"/>
  <c r="I6" i="9"/>
  <c r="I4" i="9"/>
  <c r="I13" i="9"/>
  <c r="I14" i="9"/>
  <c r="I15" i="9"/>
  <c r="I16" i="9"/>
  <c r="I17" i="9"/>
  <c r="I3" i="9"/>
  <c r="I18" i="9"/>
  <c r="F15" i="4"/>
  <c r="G19" i="4"/>
  <c r="G16" i="4"/>
  <c r="H19" i="4"/>
  <c r="H18" i="4"/>
  <c r="H16" i="4"/>
  <c r="F7" i="4"/>
  <c r="F3" i="4"/>
  <c r="H9" i="4"/>
  <c r="F17" i="4"/>
  <c r="F5" i="4"/>
  <c r="H5" i="4"/>
  <c r="F14" i="4"/>
  <c r="H14" i="4"/>
  <c r="F4" i="4"/>
  <c r="H4" i="4"/>
  <c r="G9" i="4"/>
  <c r="G18" i="4"/>
  <c r="G8" i="4"/>
  <c r="G17" i="4"/>
  <c r="F9" i="4"/>
  <c r="G13" i="4"/>
  <c r="H13" i="4"/>
  <c r="G15" i="4"/>
  <c r="D25" i="2"/>
  <c r="E25" i="2"/>
  <c r="F8" i="4"/>
  <c r="D23" i="2"/>
  <c r="D21" i="2"/>
  <c r="E23" i="2"/>
  <c r="E21" i="2"/>
  <c r="C18" i="2"/>
  <c r="C25" i="2" s="1"/>
  <c r="C19" i="2"/>
  <c r="D19" i="2"/>
  <c r="B37" i="11" l="1"/>
  <c r="D37" i="11"/>
  <c r="C37" i="11"/>
  <c r="D26" i="2"/>
  <c r="E26" i="2"/>
  <c r="C23" i="2"/>
  <c r="C21" i="2"/>
  <c r="C26" i="2" l="1"/>
</calcChain>
</file>

<file path=xl/sharedStrings.xml><?xml version="1.0" encoding="utf-8"?>
<sst xmlns="http://schemas.openxmlformats.org/spreadsheetml/2006/main" count="132" uniqueCount="76">
  <si>
    <r>
      <t>FFT</t>
    </r>
    <r>
      <rPr>
        <sz val="12"/>
        <rFont val="宋体"/>
        <family val="3"/>
        <charset val="134"/>
      </rPr>
      <t>点数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子载波数</t>
    </r>
    <phoneticPr fontId="1" type="noConversion"/>
  </si>
  <si>
    <r>
      <rPr>
        <sz val="12"/>
        <rFont val="宋体"/>
        <family val="3"/>
        <charset val="134"/>
      </rPr>
      <t>无效子载波数</t>
    </r>
    <phoneticPr fontId="1" type="noConversion"/>
  </si>
  <si>
    <r>
      <rPr>
        <sz val="12"/>
        <rFont val="宋体"/>
        <family val="3"/>
        <charset val="134"/>
      </rPr>
      <t>有效子载波数</t>
    </r>
    <phoneticPr fontId="1" type="noConversion"/>
  </si>
  <si>
    <r>
      <rPr>
        <sz val="12"/>
        <rFont val="宋体"/>
        <family val="3"/>
        <charset val="134"/>
      </rPr>
      <t>有效子载波数中的数据载波数</t>
    </r>
    <phoneticPr fontId="1" type="noConversion"/>
  </si>
  <si>
    <r>
      <rPr>
        <sz val="12"/>
        <rFont val="宋体"/>
        <family val="3"/>
        <charset val="134"/>
      </rPr>
      <t>有效子载波数中的导频载波数</t>
    </r>
    <phoneticPr fontId="1" type="noConversion"/>
  </si>
  <si>
    <r>
      <rPr>
        <sz val="12"/>
        <rFont val="宋体"/>
        <family val="3"/>
        <charset val="134"/>
      </rPr>
      <t>国网小无线</t>
    </r>
    <phoneticPr fontId="1" type="noConversion"/>
  </si>
  <si>
    <t>Option1</t>
    <phoneticPr fontId="1" type="noConversion"/>
  </si>
  <si>
    <t>Option2</t>
    <phoneticPr fontId="1" type="noConversion"/>
  </si>
  <si>
    <t>Option3</t>
    <phoneticPr fontId="1" type="noConversion"/>
  </si>
  <si>
    <r>
      <rPr>
        <sz val="12"/>
        <rFont val="宋体"/>
        <family val="3"/>
        <charset val="134"/>
      </rPr>
      <t>通信频段（</t>
    </r>
    <r>
      <rPr>
        <sz val="12"/>
        <rFont val="Times New Roman"/>
        <family val="1"/>
      </rPr>
      <t>MHz</t>
    </r>
    <r>
      <rPr>
        <sz val="12"/>
        <rFont val="宋体"/>
        <family val="3"/>
        <charset val="134"/>
      </rPr>
      <t>）</t>
    </r>
    <phoneticPr fontId="1" type="noConversion"/>
  </si>
  <si>
    <t>470 ~ 510</t>
    <phoneticPr fontId="1" type="noConversion"/>
  </si>
  <si>
    <r>
      <rPr>
        <sz val="12"/>
        <rFont val="宋体"/>
        <family val="3"/>
        <charset val="134"/>
      </rPr>
      <t>总带宽（</t>
    </r>
    <r>
      <rPr>
        <sz val="12"/>
        <rFont val="Times New Roman"/>
        <family val="1"/>
      </rPr>
      <t>MHz</t>
    </r>
    <r>
      <rPr>
        <sz val="12"/>
        <rFont val="宋体"/>
        <family val="3"/>
        <charset val="134"/>
      </rPr>
      <t>）</t>
    </r>
    <phoneticPr fontId="1" type="noConversion"/>
  </si>
  <si>
    <r>
      <rPr>
        <sz val="12"/>
        <rFont val="宋体"/>
        <family val="3"/>
        <charset val="134"/>
      </rPr>
      <t>信道数量</t>
    </r>
    <phoneticPr fontId="1" type="noConversion"/>
  </si>
  <si>
    <r>
      <rPr>
        <sz val="12"/>
        <rFont val="宋体"/>
        <family val="3"/>
        <charset val="134"/>
      </rPr>
      <t>第一个信道中心频率（</t>
    </r>
    <r>
      <rPr>
        <sz val="12"/>
        <rFont val="Times New Roman"/>
        <family val="1"/>
      </rPr>
      <t>MHz</t>
    </r>
    <r>
      <rPr>
        <sz val="12"/>
        <rFont val="宋体"/>
        <family val="3"/>
        <charset val="134"/>
      </rPr>
      <t>）</t>
    </r>
    <phoneticPr fontId="1" type="noConversion"/>
  </si>
  <si>
    <r>
      <rPr>
        <sz val="12"/>
        <rFont val="宋体"/>
        <family val="3"/>
        <charset val="134"/>
      </rPr>
      <t>第一个信道范围（</t>
    </r>
    <r>
      <rPr>
        <sz val="12"/>
        <rFont val="Times New Roman"/>
        <family val="1"/>
      </rPr>
      <t>MHz</t>
    </r>
    <r>
      <rPr>
        <sz val="12"/>
        <rFont val="宋体"/>
        <family val="3"/>
        <charset val="134"/>
      </rPr>
      <t>）</t>
    </r>
    <phoneticPr fontId="1" type="noConversion"/>
  </si>
  <si>
    <t>470.5 ~ 471.5</t>
    <phoneticPr fontId="1" type="noConversion"/>
  </si>
  <si>
    <t>470.25 ~ 470.75</t>
    <phoneticPr fontId="1" type="noConversion"/>
  </si>
  <si>
    <t>470 ~ 470.2</t>
    <phoneticPr fontId="1" type="noConversion"/>
  </si>
  <si>
    <r>
      <rPr>
        <sz val="12"/>
        <rFont val="宋体"/>
        <family val="3"/>
        <charset val="134"/>
      </rPr>
      <t>子载波间隔（</t>
    </r>
    <r>
      <rPr>
        <sz val="12"/>
        <rFont val="Times New Roman"/>
        <family val="1"/>
      </rPr>
      <t>KHz</t>
    </r>
    <r>
      <rPr>
        <sz val="12"/>
        <rFont val="宋体"/>
        <family val="3"/>
        <charset val="134"/>
      </rPr>
      <t>）</t>
    </r>
    <phoneticPr fontId="1" type="noConversion"/>
  </si>
  <si>
    <r>
      <t>OFDM</t>
    </r>
    <r>
      <rPr>
        <sz val="12"/>
        <rFont val="宋体"/>
        <family val="3"/>
        <charset val="134"/>
      </rPr>
      <t>符号持续时间（微秒）</t>
    </r>
    <phoneticPr fontId="1" type="noConversion"/>
  </si>
  <si>
    <r>
      <t>Nominal Bandwidth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KHz</t>
    </r>
    <r>
      <rPr>
        <sz val="12"/>
        <rFont val="宋体"/>
        <family val="3"/>
        <charset val="134"/>
      </rPr>
      <t>）</t>
    </r>
    <phoneticPr fontId="1" type="noConversion"/>
  </si>
  <si>
    <t>-64 ~ 63</t>
    <phoneticPr fontId="1" type="noConversion"/>
  </si>
  <si>
    <t>-32 ~ 31</t>
    <phoneticPr fontId="1" type="noConversion"/>
  </si>
  <si>
    <t>-16 ~ 15</t>
    <phoneticPr fontId="1" type="noConversion"/>
  </si>
  <si>
    <r>
      <rPr>
        <sz val="12"/>
        <rFont val="宋体"/>
        <family val="3"/>
        <charset val="134"/>
      </rPr>
      <t>信道间隔（</t>
    </r>
    <r>
      <rPr>
        <sz val="12"/>
        <rFont val="Times New Roman"/>
        <family val="1"/>
      </rPr>
      <t>KHz</t>
    </r>
    <r>
      <rPr>
        <sz val="12"/>
        <rFont val="宋体"/>
        <family val="3"/>
        <charset val="134"/>
      </rPr>
      <t>）</t>
    </r>
    <phoneticPr fontId="1" type="noConversion"/>
  </si>
  <si>
    <r>
      <rPr>
        <sz val="12"/>
        <rFont val="宋体"/>
        <family val="3"/>
        <charset val="134"/>
      </rPr>
      <t>子载波编号</t>
    </r>
    <phoneticPr fontId="1" type="noConversion"/>
  </si>
  <si>
    <r>
      <rPr>
        <sz val="12"/>
        <rFont val="宋体"/>
        <family val="3"/>
        <charset val="134"/>
      </rPr>
      <t>无效子载波编号</t>
    </r>
    <phoneticPr fontId="1" type="noConversion"/>
  </si>
  <si>
    <r>
      <t>-64 ~ -53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0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53 ~ 63</t>
    </r>
    <phoneticPr fontId="1" type="noConversion"/>
  </si>
  <si>
    <r>
      <t>-32 ~ -27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0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27 ~ 31</t>
    </r>
    <phoneticPr fontId="1" type="noConversion"/>
  </si>
  <si>
    <r>
      <t>-16 ~ -11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0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11 ~ 15</t>
    </r>
    <phoneticPr fontId="1" type="noConversion"/>
  </si>
  <si>
    <r>
      <rPr>
        <sz val="12"/>
        <rFont val="宋体"/>
        <family val="3"/>
        <charset val="134"/>
      </rPr>
      <t>滚降间隔点数</t>
    </r>
    <phoneticPr fontId="1" type="noConversion"/>
  </si>
  <si>
    <r>
      <rPr>
        <sz val="12"/>
        <rFont val="宋体"/>
        <family val="3"/>
        <charset val="134"/>
      </rPr>
      <t>滚降间隔时间（微秒）</t>
    </r>
    <phoneticPr fontId="1" type="noConversion"/>
  </si>
  <si>
    <r>
      <rPr>
        <sz val="12"/>
        <rFont val="宋体"/>
        <family val="3"/>
        <charset val="134"/>
      </rPr>
      <t>保护间隔点数</t>
    </r>
    <phoneticPr fontId="1" type="noConversion"/>
  </si>
  <si>
    <r>
      <rPr>
        <sz val="12"/>
        <rFont val="宋体"/>
        <family val="3"/>
        <charset val="134"/>
      </rPr>
      <t>保护间隔时间（微秒）</t>
    </r>
    <phoneticPr fontId="1" type="noConversion"/>
  </si>
  <si>
    <r>
      <rPr>
        <sz val="12"/>
        <rFont val="宋体"/>
        <family val="3"/>
        <charset val="134"/>
      </rPr>
      <t>循环前缀点数</t>
    </r>
    <phoneticPr fontId="1" type="noConversion"/>
  </si>
  <si>
    <r>
      <rPr>
        <sz val="12"/>
        <rFont val="宋体"/>
        <family val="3"/>
        <charset val="134"/>
      </rPr>
      <t>循环前缀时间（微秒）</t>
    </r>
    <phoneticPr fontId="1" type="noConversion"/>
  </si>
  <si>
    <t>最大支持的时延拓展（微秒）</t>
    <phoneticPr fontId="1" type="noConversion"/>
  </si>
  <si>
    <t>PHR MCS</t>
    <phoneticPr fontId="1" type="noConversion"/>
  </si>
  <si>
    <r>
      <rPr>
        <sz val="12"/>
        <color theme="1"/>
        <rFont val="宋体"/>
        <family val="3"/>
        <charset val="134"/>
      </rPr>
      <t>分集次数</t>
    </r>
    <phoneticPr fontId="1" type="noConversion"/>
  </si>
  <si>
    <r>
      <rPr>
        <sz val="12"/>
        <color theme="1"/>
        <rFont val="宋体"/>
        <family val="3"/>
        <charset val="134"/>
      </rPr>
      <t>调制方式</t>
    </r>
    <phoneticPr fontId="1" type="noConversion"/>
  </si>
  <si>
    <r>
      <rPr>
        <sz val="12"/>
        <color theme="1"/>
        <rFont val="宋体"/>
        <family val="3"/>
        <charset val="134"/>
      </rPr>
      <t>信道编码码率</t>
    </r>
    <phoneticPr fontId="1" type="noConversion"/>
  </si>
  <si>
    <r>
      <t>Option1</t>
    </r>
    <r>
      <rPr>
        <sz val="12"/>
        <color theme="1"/>
        <rFont val="宋体"/>
        <family val="1"/>
        <charset val="134"/>
      </rPr>
      <t>数据速率（</t>
    </r>
    <r>
      <rPr>
        <sz val="12"/>
        <color theme="1"/>
        <rFont val="Times New Roman"/>
        <family val="1"/>
      </rPr>
      <t>kb/s</t>
    </r>
    <r>
      <rPr>
        <sz val="12"/>
        <color theme="1"/>
        <rFont val="宋体"/>
        <family val="1"/>
        <charset val="134"/>
      </rPr>
      <t>）</t>
    </r>
    <phoneticPr fontId="1" type="noConversion"/>
  </si>
  <si>
    <r>
      <t>Option2</t>
    </r>
    <r>
      <rPr>
        <sz val="12"/>
        <color theme="1"/>
        <rFont val="宋体"/>
        <family val="1"/>
        <charset val="134"/>
      </rPr>
      <t>数据速率（</t>
    </r>
    <r>
      <rPr>
        <sz val="12"/>
        <color theme="1"/>
        <rFont val="Times New Roman"/>
        <family val="1"/>
      </rPr>
      <t>kb/s</t>
    </r>
    <r>
      <rPr>
        <sz val="12"/>
        <color theme="1"/>
        <rFont val="宋体"/>
        <family val="1"/>
        <charset val="134"/>
      </rPr>
      <t>）</t>
    </r>
    <phoneticPr fontId="1" type="noConversion"/>
  </si>
  <si>
    <r>
      <t>Option3数据速率（kb/s）</t>
    </r>
    <r>
      <rPr>
        <sz val="12"/>
        <color theme="1"/>
        <rFont val="宋体"/>
        <family val="1"/>
        <charset val="134"/>
      </rPr>
      <t/>
    </r>
  </si>
  <si>
    <t>PSDU MCS</t>
    <phoneticPr fontId="1" type="noConversion"/>
  </si>
  <si>
    <r>
      <rPr>
        <sz val="12"/>
        <color theme="1"/>
        <rFont val="宋体"/>
        <family val="3"/>
        <charset val="134"/>
      </rPr>
      <t>子信道编号</t>
    </r>
    <phoneticPr fontId="1" type="noConversion"/>
  </si>
  <si>
    <r>
      <rPr>
        <sz val="12"/>
        <color theme="1"/>
        <rFont val="宋体"/>
        <family val="3"/>
        <charset val="134"/>
      </rPr>
      <t>子信道起始</t>
    </r>
    <phoneticPr fontId="1" type="noConversion"/>
  </si>
  <si>
    <r>
      <rPr>
        <sz val="12"/>
        <color theme="1"/>
        <rFont val="宋体"/>
        <family val="3"/>
        <charset val="134"/>
      </rPr>
      <t>子信道中心频点</t>
    </r>
    <phoneticPr fontId="1" type="noConversion"/>
  </si>
  <si>
    <r>
      <rPr>
        <sz val="12"/>
        <color theme="1"/>
        <rFont val="宋体"/>
        <family val="3"/>
        <charset val="134"/>
      </rPr>
      <t>子信道终止</t>
    </r>
    <phoneticPr fontId="1" type="noConversion"/>
  </si>
  <si>
    <r>
      <rPr>
        <sz val="12"/>
        <color theme="1"/>
        <rFont val="宋体"/>
        <family val="3"/>
        <charset val="134"/>
      </rPr>
      <t>分集拷贝次数</t>
    </r>
    <r>
      <rPr>
        <sz val="12"/>
        <color theme="1"/>
        <rFont val="Times New Roman"/>
        <family val="1"/>
      </rPr>
      <t>dB</t>
    </r>
    <phoneticPr fontId="1" type="noConversion"/>
  </si>
  <si>
    <r>
      <t>PHR</t>
    </r>
    <r>
      <rPr>
        <sz val="12"/>
        <color theme="1"/>
        <rFont val="宋体"/>
        <family val="3"/>
        <charset val="134"/>
      </rPr>
      <t>性能限（</t>
    </r>
    <r>
      <rPr>
        <sz val="12"/>
        <color theme="1"/>
        <rFont val="Times New Roman"/>
        <family val="1"/>
      </rPr>
      <t>SNR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(dB)</t>
    </r>
    <phoneticPr fontId="1" type="noConversion"/>
  </si>
  <si>
    <r>
      <t>PSDU</t>
    </r>
    <r>
      <rPr>
        <sz val="12"/>
        <color theme="1"/>
        <rFont val="宋体"/>
        <family val="3"/>
        <charset val="134"/>
      </rPr>
      <t>性能限（</t>
    </r>
    <r>
      <rPr>
        <sz val="12"/>
        <color theme="1"/>
        <rFont val="Times New Roman"/>
        <family val="1"/>
      </rPr>
      <t>SNR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(dB)</t>
    </r>
    <phoneticPr fontId="1" type="noConversion"/>
  </si>
  <si>
    <r>
      <t>Turbo</t>
    </r>
    <r>
      <rPr>
        <sz val="12"/>
        <color theme="1"/>
        <rFont val="宋体"/>
        <family val="3"/>
        <charset val="134"/>
      </rPr>
      <t>译码器参考门限（</t>
    </r>
    <r>
      <rPr>
        <sz val="12"/>
        <color theme="1"/>
        <rFont val="Times New Roman"/>
        <family val="1"/>
      </rPr>
      <t>EbN0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(dB)</t>
    </r>
    <phoneticPr fontId="1" type="noConversion"/>
  </si>
  <si>
    <r>
      <t>Turbo</t>
    </r>
    <r>
      <rPr>
        <sz val="12"/>
        <color theme="1"/>
        <rFont val="宋体"/>
        <family val="3"/>
        <charset val="134"/>
      </rPr>
      <t>译码器参考门限（</t>
    </r>
    <r>
      <rPr>
        <sz val="12"/>
        <color theme="1"/>
        <rFont val="Times New Roman"/>
        <family val="1"/>
      </rPr>
      <t>SNR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(dB)</t>
    </r>
    <phoneticPr fontId="1" type="noConversion"/>
  </si>
  <si>
    <t>IEEE 802.11 a/g/n</t>
    <phoneticPr fontId="1" type="noConversion"/>
  </si>
  <si>
    <r>
      <rPr>
        <sz val="12"/>
        <rFont val="宋体"/>
        <family val="3"/>
        <charset val="134"/>
      </rPr>
      <t>信道间隔（</t>
    </r>
    <r>
      <rPr>
        <sz val="12"/>
        <rFont val="Times New Roman"/>
        <family val="1"/>
      </rPr>
      <t>MHz</t>
    </r>
    <r>
      <rPr>
        <sz val="12"/>
        <rFont val="宋体"/>
        <family val="3"/>
        <charset val="134"/>
      </rPr>
      <t>）</t>
    </r>
    <phoneticPr fontId="1" type="noConversion"/>
  </si>
  <si>
    <r>
      <rPr>
        <sz val="12"/>
        <rFont val="宋体"/>
        <family val="3"/>
        <charset val="134"/>
      </rPr>
      <t>数据载波编号</t>
    </r>
    <phoneticPr fontId="1" type="noConversion"/>
  </si>
  <si>
    <r>
      <t>-26 ~ -22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-20 ~ -8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-6 ~ -1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1 ~ 6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8 ~ 20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22 ~ 26</t>
    </r>
    <phoneticPr fontId="1" type="noConversion"/>
  </si>
  <si>
    <r>
      <rPr>
        <sz val="12"/>
        <rFont val="宋体"/>
        <family val="3"/>
        <charset val="134"/>
      </rPr>
      <t>导频载波编号</t>
    </r>
    <phoneticPr fontId="1" type="noConversion"/>
  </si>
  <si>
    <r>
      <t>-21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-7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7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21</t>
    </r>
    <phoneticPr fontId="1" type="noConversion"/>
  </si>
  <si>
    <r>
      <rPr>
        <sz val="12"/>
        <rFont val="宋体"/>
        <family val="3"/>
        <charset val="134"/>
      </rPr>
      <t>最大支持的时延拓展（微秒）</t>
    </r>
    <phoneticPr fontId="1" type="noConversion"/>
  </si>
  <si>
    <r>
      <t>OFDM</t>
    </r>
    <r>
      <rPr>
        <sz val="12"/>
        <rFont val="宋体"/>
        <family val="1"/>
        <charset val="134"/>
      </rPr>
      <t>符号持续时间（</t>
    </r>
    <r>
      <rPr>
        <sz val="12"/>
        <rFont val="Times New Roman"/>
        <family val="1"/>
      </rPr>
      <t>us</t>
    </r>
    <r>
      <rPr>
        <sz val="12"/>
        <rFont val="宋体"/>
        <family val="1"/>
        <charset val="134"/>
      </rPr>
      <t>）</t>
    </r>
    <phoneticPr fontId="1" type="noConversion"/>
  </si>
  <si>
    <t>子载波间隔（MHz）</t>
    <phoneticPr fontId="1" type="noConversion"/>
  </si>
  <si>
    <r>
      <rPr>
        <sz val="12"/>
        <rFont val="宋体"/>
        <family val="1"/>
        <charset val="134"/>
      </rPr>
      <t>数据</t>
    </r>
    <r>
      <rPr>
        <sz val="12"/>
        <rFont val="Times New Roman"/>
        <family val="1"/>
      </rPr>
      <t>OFDM</t>
    </r>
    <r>
      <rPr>
        <sz val="12"/>
        <rFont val="宋体"/>
        <family val="1"/>
        <charset val="134"/>
      </rPr>
      <t>的</t>
    </r>
    <r>
      <rPr>
        <sz val="12"/>
        <rFont val="Times New Roman"/>
        <family val="1"/>
      </rPr>
      <t>GI</t>
    </r>
    <r>
      <rPr>
        <sz val="12"/>
        <rFont val="宋体"/>
        <family val="1"/>
        <charset val="134"/>
      </rPr>
      <t>持续时间（</t>
    </r>
    <r>
      <rPr>
        <sz val="12"/>
        <rFont val="Times New Roman"/>
        <family val="1"/>
      </rPr>
      <t>us</t>
    </r>
    <r>
      <rPr>
        <sz val="12"/>
        <rFont val="宋体"/>
        <family val="1"/>
        <charset val="134"/>
      </rPr>
      <t>）</t>
    </r>
    <phoneticPr fontId="1" type="noConversion"/>
  </si>
  <si>
    <r>
      <rPr>
        <sz val="12"/>
        <rFont val="Times New Roman"/>
        <family val="1"/>
      </rPr>
      <t>LTF OFDM</t>
    </r>
    <r>
      <rPr>
        <sz val="12"/>
        <rFont val="宋体"/>
        <family val="1"/>
        <charset val="134"/>
      </rPr>
      <t>的</t>
    </r>
    <r>
      <rPr>
        <sz val="12"/>
        <rFont val="Times New Roman"/>
        <family val="1"/>
      </rPr>
      <t>GI</t>
    </r>
    <r>
      <rPr>
        <sz val="12"/>
        <rFont val="宋体"/>
        <family val="1"/>
        <charset val="134"/>
      </rPr>
      <t>持续时间（</t>
    </r>
    <r>
      <rPr>
        <sz val="12"/>
        <rFont val="Times New Roman"/>
        <family val="1"/>
      </rPr>
      <t>us</t>
    </r>
    <r>
      <rPr>
        <sz val="12"/>
        <rFont val="宋体"/>
        <family val="1"/>
        <charset val="134"/>
      </rPr>
      <t>）</t>
    </r>
    <phoneticPr fontId="1" type="noConversion"/>
  </si>
  <si>
    <r>
      <rPr>
        <sz val="12"/>
        <rFont val="宋体"/>
        <family val="1"/>
        <charset val="134"/>
      </rPr>
      <t>数据</t>
    </r>
    <r>
      <rPr>
        <sz val="12"/>
        <rFont val="Times New Roman"/>
        <family val="1"/>
      </rPr>
      <t xml:space="preserve">OFDM </t>
    </r>
    <r>
      <rPr>
        <sz val="12"/>
        <rFont val="宋体"/>
        <family val="1"/>
        <charset val="134"/>
      </rPr>
      <t xml:space="preserve">+ </t>
    </r>
    <r>
      <rPr>
        <sz val="12"/>
        <rFont val="Times New Roman"/>
        <family val="1"/>
      </rPr>
      <t>GI</t>
    </r>
    <r>
      <rPr>
        <sz val="12"/>
        <rFont val="宋体"/>
        <family val="1"/>
        <charset val="134"/>
      </rPr>
      <t>持续时间（</t>
    </r>
    <r>
      <rPr>
        <sz val="12"/>
        <rFont val="Times New Roman"/>
        <family val="1"/>
      </rPr>
      <t>us</t>
    </r>
    <r>
      <rPr>
        <sz val="12"/>
        <rFont val="宋体"/>
        <family val="1"/>
        <charset val="134"/>
      </rPr>
      <t>）</t>
    </r>
    <phoneticPr fontId="1" type="noConversion"/>
  </si>
  <si>
    <r>
      <t>STF</t>
    </r>
    <r>
      <rPr>
        <sz val="12"/>
        <rFont val="宋体"/>
        <family val="1"/>
        <charset val="134"/>
      </rPr>
      <t>的持续时间（</t>
    </r>
    <r>
      <rPr>
        <sz val="12"/>
        <rFont val="Times New Roman"/>
        <family val="1"/>
      </rPr>
      <t>us</t>
    </r>
    <r>
      <rPr>
        <sz val="12"/>
        <rFont val="宋体"/>
        <family val="1"/>
        <charset val="134"/>
      </rPr>
      <t>）</t>
    </r>
    <phoneticPr fontId="1" type="noConversion"/>
  </si>
  <si>
    <r>
      <t>LTF</t>
    </r>
    <r>
      <rPr>
        <sz val="12"/>
        <rFont val="宋体"/>
        <family val="1"/>
        <charset val="134"/>
      </rPr>
      <t>的持续时间（</t>
    </r>
    <r>
      <rPr>
        <sz val="12"/>
        <rFont val="Times New Roman"/>
        <family val="1"/>
      </rPr>
      <t>us</t>
    </r>
    <r>
      <rPr>
        <sz val="12"/>
        <rFont val="宋体"/>
        <family val="1"/>
        <charset val="134"/>
      </rPr>
      <t>）</t>
    </r>
    <phoneticPr fontId="1" type="noConversion"/>
  </si>
  <si>
    <t>有效子载波数中的数据载波数</t>
    <phoneticPr fontId="1" type="noConversion"/>
  </si>
  <si>
    <r>
      <rPr>
        <sz val="12"/>
        <rFont val="宋体"/>
        <family val="3"/>
        <charset val="134"/>
      </rPr>
      <t>调制阶数</t>
    </r>
    <phoneticPr fontId="1" type="noConversion"/>
  </si>
  <si>
    <r>
      <rPr>
        <sz val="12"/>
        <rFont val="宋体"/>
        <family val="3"/>
        <charset val="134"/>
      </rPr>
      <t>信道编码码率</t>
    </r>
    <phoneticPr fontId="1" type="noConversion"/>
  </si>
  <si>
    <r>
      <t>OFDM</t>
    </r>
    <r>
      <rPr>
        <sz val="12"/>
        <color theme="1"/>
        <rFont val="宋体"/>
        <family val="3"/>
        <charset val="134"/>
      </rPr>
      <t>符号的数据载波数</t>
    </r>
    <phoneticPr fontId="1" type="noConversion"/>
  </si>
  <si>
    <r>
      <t>OFDM</t>
    </r>
    <r>
      <rPr>
        <sz val="12"/>
        <color theme="1"/>
        <rFont val="宋体"/>
        <family val="3"/>
        <charset val="134"/>
      </rPr>
      <t>符号的编码后比特数</t>
    </r>
    <phoneticPr fontId="1" type="noConversion"/>
  </si>
  <si>
    <r>
      <t>OFDM</t>
    </r>
    <r>
      <rPr>
        <sz val="12"/>
        <color theme="1"/>
        <rFont val="宋体"/>
        <family val="3"/>
        <charset val="134"/>
      </rPr>
      <t>符号的数据比特数</t>
    </r>
    <phoneticPr fontId="1" type="noConversion"/>
  </si>
  <si>
    <r>
      <rPr>
        <sz val="12"/>
        <rFont val="宋体"/>
        <family val="3"/>
        <charset val="134"/>
      </rPr>
      <t>数据</t>
    </r>
    <r>
      <rPr>
        <sz val="12"/>
        <rFont val="Times New Roman"/>
        <family val="1"/>
      </rPr>
      <t>OFDM + GI</t>
    </r>
    <r>
      <rPr>
        <sz val="12"/>
        <rFont val="宋体"/>
        <family val="3"/>
        <charset val="134"/>
      </rPr>
      <t>持续时间（</t>
    </r>
    <r>
      <rPr>
        <sz val="12"/>
        <rFont val="Times New Roman"/>
        <family val="1"/>
      </rPr>
      <t>us</t>
    </r>
    <r>
      <rPr>
        <sz val="12"/>
        <rFont val="宋体"/>
        <family val="3"/>
        <charset val="134"/>
      </rPr>
      <t>）</t>
    </r>
    <phoneticPr fontId="1" type="noConversion"/>
  </si>
  <si>
    <r>
      <rPr>
        <sz val="12"/>
        <color theme="1"/>
        <rFont val="宋体"/>
        <family val="3"/>
        <charset val="134"/>
      </rPr>
      <t>数据传输速率（</t>
    </r>
    <r>
      <rPr>
        <sz val="12"/>
        <color theme="1"/>
        <rFont val="Times New Roman"/>
        <family val="1"/>
      </rPr>
      <t>Mbps</t>
    </r>
    <r>
      <rPr>
        <sz val="12"/>
        <color theme="1"/>
        <rFont val="宋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</si>
</sst>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00_ "/>
    <numFmt numFmtId="178" formatCode="0.0_ "/>
    <numFmt numFmtId="179" formatCode="0.00_ "/>
    <numFmt numFmtId="180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宋体"/>
      <family val="1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宋体"/>
      <family val="1"/>
      <charset val="134"/>
    </font>
    <font>
      <sz val="12"/>
      <name val="Times New Roman"/>
      <family val="1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2F50-46C3-4489-A6AC-77B9DD7B3966}">
  <dimension ref="B2:E26"/>
  <sheetViews>
    <sheetView zoomScale="115" zoomScaleNormal="115" workbookViewId="0">
      <selection activeCell="C28" sqref="A1:XFD1048576"/>
    </sheetView>
  </sheetViews>
  <sheetFormatPr defaultColWidth="30.58203125" defaultRowHeight="20" customHeight="1" x14ac:dyDescent="0.3"/>
  <cols>
    <col min="1" max="1" width="15.58203125" style="1" customWidth="1"/>
    <col min="2" max="5" width="30.58203125" style="3"/>
    <col min="6" max="16384" width="30.58203125" style="1"/>
  </cols>
  <sheetData>
    <row r="2" spans="2:5" ht="20" customHeight="1" x14ac:dyDescent="0.3">
      <c r="B2" s="24"/>
      <c r="C2" s="30" t="s">
        <v>5</v>
      </c>
      <c r="D2" s="31"/>
      <c r="E2" s="32"/>
    </row>
    <row r="3" spans="2:5" ht="20" customHeight="1" x14ac:dyDescent="0.3">
      <c r="B3" s="24"/>
      <c r="C3" s="18" t="s">
        <v>6</v>
      </c>
      <c r="D3" s="18" t="s">
        <v>7</v>
      </c>
      <c r="E3" s="18" t="s">
        <v>8</v>
      </c>
    </row>
    <row r="4" spans="2:5" ht="20" customHeight="1" x14ac:dyDescent="0.3">
      <c r="B4" s="5" t="s">
        <v>0</v>
      </c>
      <c r="C4" s="9">
        <v>128</v>
      </c>
      <c r="D4" s="9">
        <v>64</v>
      </c>
      <c r="E4" s="9">
        <v>32</v>
      </c>
    </row>
    <row r="5" spans="2:5" ht="20" customHeight="1" x14ac:dyDescent="0.3">
      <c r="B5" s="5" t="s">
        <v>25</v>
      </c>
      <c r="C5" s="4" t="s">
        <v>21</v>
      </c>
      <c r="D5" s="4" t="s">
        <v>22</v>
      </c>
      <c r="E5" s="4" t="s">
        <v>23</v>
      </c>
    </row>
    <row r="6" spans="2:5" ht="20" customHeight="1" x14ac:dyDescent="0.3">
      <c r="B6" s="5" t="s">
        <v>1</v>
      </c>
      <c r="C6" s="8">
        <v>24</v>
      </c>
      <c r="D6" s="8">
        <v>12</v>
      </c>
      <c r="E6" s="8">
        <v>12</v>
      </c>
    </row>
    <row r="7" spans="2:5" ht="20" customHeight="1" x14ac:dyDescent="0.3">
      <c r="B7" s="5" t="s">
        <v>26</v>
      </c>
      <c r="C7" s="7" t="s">
        <v>27</v>
      </c>
      <c r="D7" s="7" t="s">
        <v>28</v>
      </c>
      <c r="E7" s="7" t="s">
        <v>29</v>
      </c>
    </row>
    <row r="8" spans="2:5" ht="20" customHeight="1" x14ac:dyDescent="0.3">
      <c r="B8" s="5" t="s">
        <v>2</v>
      </c>
      <c r="C8" s="2">
        <v>104</v>
      </c>
      <c r="D8" s="2">
        <v>52</v>
      </c>
      <c r="E8" s="2">
        <v>20</v>
      </c>
    </row>
    <row r="9" spans="2:5" ht="20" customHeight="1" x14ac:dyDescent="0.3">
      <c r="B9" s="5" t="s">
        <v>3</v>
      </c>
      <c r="C9" s="2">
        <v>96</v>
      </c>
      <c r="D9" s="2">
        <v>48</v>
      </c>
      <c r="E9" s="2">
        <v>18</v>
      </c>
    </row>
    <row r="10" spans="2:5" ht="20" customHeight="1" x14ac:dyDescent="0.3">
      <c r="B10" s="5" t="s">
        <v>4</v>
      </c>
      <c r="C10" s="2">
        <v>8</v>
      </c>
      <c r="D10" s="2">
        <v>4</v>
      </c>
      <c r="E10" s="2">
        <v>2</v>
      </c>
    </row>
    <row r="11" spans="2:5" ht="20" customHeight="1" x14ac:dyDescent="0.3">
      <c r="B11" s="5" t="s">
        <v>9</v>
      </c>
      <c r="C11" s="2" t="s">
        <v>10</v>
      </c>
      <c r="D11" s="2" t="s">
        <v>10</v>
      </c>
      <c r="E11" s="2" t="s">
        <v>10</v>
      </c>
    </row>
    <row r="12" spans="2:5" ht="20" customHeight="1" x14ac:dyDescent="0.3">
      <c r="B12" s="5" t="s">
        <v>11</v>
      </c>
      <c r="C12" s="10">
        <v>40</v>
      </c>
      <c r="D12" s="10">
        <v>40</v>
      </c>
      <c r="E12" s="10">
        <v>40</v>
      </c>
    </row>
    <row r="13" spans="2:5" ht="20" customHeight="1" x14ac:dyDescent="0.3">
      <c r="B13" s="5" t="s">
        <v>24</v>
      </c>
      <c r="C13" s="10">
        <v>1000</v>
      </c>
      <c r="D13" s="10">
        <v>500</v>
      </c>
      <c r="E13" s="10">
        <v>200</v>
      </c>
    </row>
    <row r="14" spans="2:5" ht="20" customHeight="1" x14ac:dyDescent="0.3">
      <c r="B14" s="5" t="s">
        <v>12</v>
      </c>
      <c r="C14" s="2">
        <v>39</v>
      </c>
      <c r="D14" s="2">
        <v>79</v>
      </c>
      <c r="E14" s="2">
        <v>200</v>
      </c>
    </row>
    <row r="15" spans="2:5" ht="20" customHeight="1" x14ac:dyDescent="0.3">
      <c r="B15" s="5" t="s">
        <v>13</v>
      </c>
      <c r="C15" s="2">
        <v>471</v>
      </c>
      <c r="D15" s="2">
        <v>470.5</v>
      </c>
      <c r="E15" s="2">
        <v>470.1</v>
      </c>
    </row>
    <row r="16" spans="2:5" ht="20" customHeight="1" x14ac:dyDescent="0.3">
      <c r="B16" s="5" t="s">
        <v>14</v>
      </c>
      <c r="C16" s="2" t="s">
        <v>15</v>
      </c>
      <c r="D16" s="2" t="s">
        <v>16</v>
      </c>
      <c r="E16" s="2" t="s">
        <v>17</v>
      </c>
    </row>
    <row r="17" spans="2:5" ht="20" customHeight="1" x14ac:dyDescent="0.3">
      <c r="B17" s="5" t="s">
        <v>18</v>
      </c>
      <c r="C17" s="12">
        <f>25000000/3072/1000</f>
        <v>8.1380208333333321</v>
      </c>
      <c r="D17" s="12">
        <f>25000000/3072/1000</f>
        <v>8.1380208333333321</v>
      </c>
      <c r="E17" s="12">
        <f>25000000/3072/1000</f>
        <v>8.1380208333333321</v>
      </c>
    </row>
    <row r="18" spans="2:5" ht="20" customHeight="1" x14ac:dyDescent="0.3">
      <c r="B18" s="5" t="s">
        <v>19</v>
      </c>
      <c r="C18" s="12">
        <f>1/C17*1000</f>
        <v>122.88000000000002</v>
      </c>
      <c r="D18" s="12">
        <f>1/D17*1000</f>
        <v>122.88000000000002</v>
      </c>
      <c r="E18" s="12">
        <f>1/E17*1000</f>
        <v>122.88000000000002</v>
      </c>
    </row>
    <row r="19" spans="2:5" ht="20" customHeight="1" x14ac:dyDescent="0.3">
      <c r="B19" s="5" t="s">
        <v>20</v>
      </c>
      <c r="C19" s="12">
        <f>C17*(C8+1)</f>
        <v>854.49218749999989</v>
      </c>
      <c r="D19" s="12">
        <f>C17*(D8+1)</f>
        <v>431.31510416666663</v>
      </c>
      <c r="E19" s="12">
        <f>C17*(E8+1)</f>
        <v>170.89843749999997</v>
      </c>
    </row>
    <row r="20" spans="2:5" ht="20" customHeight="1" x14ac:dyDescent="0.3">
      <c r="B20" s="5" t="s">
        <v>30</v>
      </c>
      <c r="C20" s="8">
        <v>8</v>
      </c>
      <c r="D20" s="8">
        <v>4</v>
      </c>
      <c r="E20" s="8">
        <v>4</v>
      </c>
    </row>
    <row r="21" spans="2:5" ht="20" customHeight="1" x14ac:dyDescent="0.3">
      <c r="B21" s="5" t="s">
        <v>31</v>
      </c>
      <c r="C21" s="13">
        <f>C18/C4*C20</f>
        <v>7.6800000000000015</v>
      </c>
      <c r="D21" s="13">
        <f>D18/D4*D20</f>
        <v>7.6800000000000015</v>
      </c>
      <c r="E21" s="13">
        <f t="shared" ref="E21" si="0">E18/E4*E20</f>
        <v>15.360000000000003</v>
      </c>
    </row>
    <row r="22" spans="2:5" ht="20" customHeight="1" x14ac:dyDescent="0.3">
      <c r="B22" s="5" t="s">
        <v>32</v>
      </c>
      <c r="C22" s="8">
        <v>32</v>
      </c>
      <c r="D22" s="8">
        <v>16</v>
      </c>
      <c r="E22" s="8">
        <v>8</v>
      </c>
    </row>
    <row r="23" spans="2:5" ht="20" customHeight="1" x14ac:dyDescent="0.3">
      <c r="B23" s="5" t="s">
        <v>33</v>
      </c>
      <c r="C23" s="13">
        <f>C18/C4*C22</f>
        <v>30.720000000000006</v>
      </c>
      <c r="D23" s="13">
        <f>D18/D4*D22</f>
        <v>30.720000000000006</v>
      </c>
      <c r="E23" s="13">
        <f>E18/E4*E22</f>
        <v>30.720000000000006</v>
      </c>
    </row>
    <row r="24" spans="2:5" ht="20" customHeight="1" x14ac:dyDescent="0.3">
      <c r="B24" s="5" t="s">
        <v>34</v>
      </c>
      <c r="C24" s="8">
        <f>C20+C22</f>
        <v>40</v>
      </c>
      <c r="D24" s="8">
        <f t="shared" ref="D24:E24" si="1">D20+D22</f>
        <v>20</v>
      </c>
      <c r="E24" s="8">
        <f t="shared" si="1"/>
        <v>12</v>
      </c>
    </row>
    <row r="25" spans="2:5" ht="20" customHeight="1" x14ac:dyDescent="0.3">
      <c r="B25" s="5" t="s">
        <v>35</v>
      </c>
      <c r="C25" s="13">
        <f>C18/C4*C24</f>
        <v>38.400000000000006</v>
      </c>
      <c r="D25" s="13">
        <f t="shared" ref="D25:E25" si="2">D18/D4*D24</f>
        <v>38.400000000000006</v>
      </c>
      <c r="E25" s="13">
        <f t="shared" si="2"/>
        <v>46.080000000000013</v>
      </c>
    </row>
    <row r="26" spans="2:5" ht="20" customHeight="1" x14ac:dyDescent="0.3">
      <c r="B26" s="6" t="s">
        <v>36</v>
      </c>
      <c r="C26" s="13">
        <f>C23-C21</f>
        <v>23.040000000000006</v>
      </c>
      <c r="D26" s="13">
        <f>D23-D21</f>
        <v>23.040000000000006</v>
      </c>
      <c r="E26" s="13">
        <f t="shared" ref="E26" si="3">E23-E21</f>
        <v>15.360000000000003</v>
      </c>
    </row>
  </sheetData>
  <mergeCells count="2">
    <mergeCell ref="B2:B3"/>
    <mergeCell ref="C2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B216-11CA-494C-9AA3-1C71A8ABD5E1}">
  <dimension ref="A1:D37"/>
  <sheetViews>
    <sheetView tabSelected="1" workbookViewId="0">
      <selection activeCell="F17" sqref="F17"/>
    </sheetView>
  </sheetViews>
  <sheetFormatPr defaultColWidth="30.58203125" defaultRowHeight="20" customHeight="1" x14ac:dyDescent="0.3"/>
  <cols>
    <col min="1" max="4" width="30.58203125" style="3"/>
    <col min="5" max="16384" width="30.58203125" style="1"/>
  </cols>
  <sheetData>
    <row r="1" spans="1:4" ht="20" customHeight="1" x14ac:dyDescent="0.3">
      <c r="A1" s="28" t="s">
        <v>54</v>
      </c>
      <c r="B1" s="28"/>
      <c r="C1" s="28"/>
      <c r="D1" s="28"/>
    </row>
    <row r="2" spans="1:4" ht="20" customHeight="1" x14ac:dyDescent="0.3">
      <c r="A2" s="5" t="s">
        <v>55</v>
      </c>
      <c r="B2" s="5">
        <v>20</v>
      </c>
      <c r="C2" s="5">
        <v>10</v>
      </c>
      <c r="D2" s="5">
        <v>5</v>
      </c>
    </row>
    <row r="3" spans="1:4" ht="20" customHeight="1" x14ac:dyDescent="0.3">
      <c r="A3" s="5" t="s">
        <v>0</v>
      </c>
      <c r="B3" s="29">
        <v>64</v>
      </c>
      <c r="C3" s="29"/>
      <c r="D3" s="29"/>
    </row>
    <row r="4" spans="1:4" ht="20" customHeight="1" x14ac:dyDescent="0.3">
      <c r="A4" s="6" t="s">
        <v>62</v>
      </c>
      <c r="B4" s="22">
        <f>B2/B3</f>
        <v>0.3125</v>
      </c>
      <c r="C4" s="22">
        <f>C2/B3</f>
        <v>0.15625</v>
      </c>
      <c r="D4" s="22">
        <f>D2/B3</f>
        <v>7.8125E-2</v>
      </c>
    </row>
    <row r="5" spans="1:4" ht="20" customHeight="1" x14ac:dyDescent="0.3">
      <c r="A5" s="5" t="s">
        <v>1</v>
      </c>
      <c r="B5" s="24">
        <v>12</v>
      </c>
      <c r="C5" s="24"/>
      <c r="D5" s="24"/>
    </row>
    <row r="6" spans="1:4" ht="20" customHeight="1" x14ac:dyDescent="0.3">
      <c r="A6" s="5" t="s">
        <v>2</v>
      </c>
      <c r="B6" s="25">
        <f>B3-B5</f>
        <v>52</v>
      </c>
      <c r="C6" s="25"/>
      <c r="D6" s="25"/>
    </row>
    <row r="7" spans="1:4" ht="20" customHeight="1" x14ac:dyDescent="0.3">
      <c r="A7" s="37" t="s">
        <v>68</v>
      </c>
      <c r="B7" s="25">
        <v>48</v>
      </c>
      <c r="C7" s="25"/>
      <c r="D7" s="25"/>
    </row>
    <row r="8" spans="1:4" ht="20" customHeight="1" x14ac:dyDescent="0.3">
      <c r="A8" s="5" t="s">
        <v>4</v>
      </c>
      <c r="B8" s="25">
        <f>B6-B7</f>
        <v>4</v>
      </c>
      <c r="C8" s="25"/>
      <c r="D8" s="25"/>
    </row>
    <row r="9" spans="1:4" ht="20" customHeight="1" x14ac:dyDescent="0.3">
      <c r="A9" s="5" t="s">
        <v>26</v>
      </c>
      <c r="B9" s="26" t="s">
        <v>28</v>
      </c>
      <c r="C9" s="24"/>
      <c r="D9" s="24"/>
    </row>
    <row r="10" spans="1:4" ht="20" customHeight="1" x14ac:dyDescent="0.3">
      <c r="A10" s="5" t="s">
        <v>56</v>
      </c>
      <c r="B10" s="27" t="s">
        <v>57</v>
      </c>
      <c r="C10" s="25"/>
      <c r="D10" s="25"/>
    </row>
    <row r="11" spans="1:4" ht="20" customHeight="1" x14ac:dyDescent="0.3">
      <c r="A11" s="5" t="s">
        <v>58</v>
      </c>
      <c r="B11" s="27" t="s">
        <v>59</v>
      </c>
      <c r="C11" s="25"/>
      <c r="D11" s="25"/>
    </row>
    <row r="12" spans="1:4" ht="20" customHeight="1" x14ac:dyDescent="0.3">
      <c r="A12" s="5" t="s">
        <v>61</v>
      </c>
      <c r="B12" s="23">
        <f>1/B4</f>
        <v>3.2</v>
      </c>
      <c r="C12" s="23">
        <f t="shared" ref="C12:D12" si="0">1/C4</f>
        <v>6.4</v>
      </c>
      <c r="D12" s="23">
        <f t="shared" si="0"/>
        <v>12.8</v>
      </c>
    </row>
    <row r="13" spans="1:4" ht="20" customHeight="1" x14ac:dyDescent="0.3">
      <c r="A13" s="36" t="s">
        <v>63</v>
      </c>
      <c r="B13" s="23">
        <f>B12/4</f>
        <v>0.8</v>
      </c>
      <c r="C13" s="23">
        <f t="shared" ref="C13:D13" si="1">C12/4</f>
        <v>1.6</v>
      </c>
      <c r="D13" s="23">
        <f t="shared" si="1"/>
        <v>3.2</v>
      </c>
    </row>
    <row r="14" spans="1:4" ht="20" customHeight="1" x14ac:dyDescent="0.3">
      <c r="A14" s="36" t="s">
        <v>65</v>
      </c>
      <c r="B14" s="23">
        <f>B12+B13</f>
        <v>4</v>
      </c>
      <c r="C14" s="2">
        <f>C12+C13</f>
        <v>8</v>
      </c>
      <c r="D14" s="23">
        <f>D12+D13</f>
        <v>16</v>
      </c>
    </row>
    <row r="15" spans="1:4" ht="20" customHeight="1" x14ac:dyDescent="0.3">
      <c r="A15" s="36" t="s">
        <v>64</v>
      </c>
      <c r="B15" s="23">
        <f>B12/2</f>
        <v>1.6</v>
      </c>
      <c r="C15" s="23">
        <f t="shared" ref="C15:D15" si="2">C12/2</f>
        <v>3.2</v>
      </c>
      <c r="D15" s="23">
        <f t="shared" si="2"/>
        <v>6.4</v>
      </c>
    </row>
    <row r="16" spans="1:4" ht="20" customHeight="1" x14ac:dyDescent="0.3">
      <c r="A16" s="36" t="s">
        <v>66</v>
      </c>
      <c r="B16" s="23">
        <f>2.5*B12</f>
        <v>8</v>
      </c>
      <c r="C16" s="23">
        <f>2.5*C12</f>
        <v>16</v>
      </c>
      <c r="D16" s="23">
        <f>2.5*D12</f>
        <v>32</v>
      </c>
    </row>
    <row r="17" spans="1:4" ht="20" customHeight="1" x14ac:dyDescent="0.3">
      <c r="A17" s="36" t="s">
        <v>67</v>
      </c>
      <c r="B17" s="23">
        <f>B15+2*B12</f>
        <v>8</v>
      </c>
      <c r="C17" s="23">
        <f t="shared" ref="C17:D17" si="3">C15+2*C12</f>
        <v>16</v>
      </c>
      <c r="D17" s="23">
        <f t="shared" si="3"/>
        <v>32</v>
      </c>
    </row>
    <row r="18" spans="1:4" ht="20" customHeight="1" x14ac:dyDescent="0.3">
      <c r="A18" s="36"/>
      <c r="B18" s="23"/>
      <c r="C18" s="23"/>
      <c r="D18" s="23"/>
    </row>
    <row r="19" spans="1:4" ht="20" customHeight="1" x14ac:dyDescent="0.3">
      <c r="A19" s="36"/>
      <c r="B19" s="23"/>
      <c r="C19" s="23"/>
      <c r="D19" s="23"/>
    </row>
    <row r="20" spans="1:4" ht="20" customHeight="1" x14ac:dyDescent="0.3">
      <c r="A20" s="36"/>
      <c r="B20" s="23"/>
      <c r="C20" s="23"/>
      <c r="D20" s="23"/>
    </row>
    <row r="21" spans="1:4" ht="20" customHeight="1" x14ac:dyDescent="0.3">
      <c r="A21" s="5"/>
      <c r="B21" s="22"/>
      <c r="C21" s="22"/>
      <c r="D21" s="22"/>
    </row>
    <row r="22" spans="1:4" ht="20" customHeight="1" x14ac:dyDescent="0.3">
      <c r="A22" s="5" t="s">
        <v>9</v>
      </c>
      <c r="B22" s="2" t="s">
        <v>10</v>
      </c>
      <c r="C22" s="2" t="s">
        <v>10</v>
      </c>
      <c r="D22" s="2" t="s">
        <v>10</v>
      </c>
    </row>
    <row r="23" spans="1:4" ht="20" customHeight="1" x14ac:dyDescent="0.3">
      <c r="A23" s="5" t="s">
        <v>11</v>
      </c>
      <c r="B23" s="2">
        <v>40</v>
      </c>
      <c r="C23" s="2">
        <v>40</v>
      </c>
      <c r="D23" s="2">
        <v>40</v>
      </c>
    </row>
    <row r="24" spans="1:4" ht="20" customHeight="1" x14ac:dyDescent="0.3">
      <c r="A24" s="5" t="s">
        <v>24</v>
      </c>
      <c r="B24" s="2">
        <v>1000</v>
      </c>
      <c r="C24" s="2">
        <v>500</v>
      </c>
      <c r="D24" s="2">
        <v>200</v>
      </c>
    </row>
    <row r="25" spans="1:4" ht="20" customHeight="1" x14ac:dyDescent="0.3">
      <c r="A25" s="5" t="s">
        <v>12</v>
      </c>
      <c r="B25" s="2">
        <v>39</v>
      </c>
      <c r="C25" s="2">
        <v>79</v>
      </c>
      <c r="D25" s="2">
        <v>200</v>
      </c>
    </row>
    <row r="26" spans="1:4" ht="20" customHeight="1" x14ac:dyDescent="0.3">
      <c r="A26" s="5" t="s">
        <v>13</v>
      </c>
      <c r="B26" s="2">
        <v>471</v>
      </c>
      <c r="C26" s="2">
        <v>470.5</v>
      </c>
      <c r="D26" s="2">
        <v>470.1</v>
      </c>
    </row>
    <row r="27" spans="1:4" ht="20" customHeight="1" x14ac:dyDescent="0.3">
      <c r="A27" s="5" t="s">
        <v>14</v>
      </c>
      <c r="B27" s="2" t="s">
        <v>15</v>
      </c>
      <c r="C27" s="2" t="s">
        <v>16</v>
      </c>
      <c r="D27" s="2" t="s">
        <v>17</v>
      </c>
    </row>
    <row r="28" spans="1:4" ht="20" customHeight="1" x14ac:dyDescent="0.3">
      <c r="A28" s="5" t="s">
        <v>18</v>
      </c>
      <c r="B28" s="2">
        <f>25000000/3072/1000</f>
        <v>8.1380208333333321</v>
      </c>
      <c r="C28" s="2">
        <f>25000000/3072/1000</f>
        <v>8.1380208333333321</v>
      </c>
      <c r="D28" s="2">
        <f>25000000/3072/1000</f>
        <v>8.1380208333333321</v>
      </c>
    </row>
    <row r="29" spans="1:4" ht="20" customHeight="1" x14ac:dyDescent="0.3">
      <c r="A29" s="5" t="s">
        <v>19</v>
      </c>
      <c r="B29" s="2">
        <f>1/B28*1000</f>
        <v>122.88000000000002</v>
      </c>
      <c r="C29" s="2">
        <f>1/C28*1000</f>
        <v>122.88000000000002</v>
      </c>
      <c r="D29" s="2">
        <f>1/D28*1000</f>
        <v>122.88000000000002</v>
      </c>
    </row>
    <row r="30" spans="1:4" ht="20" customHeight="1" x14ac:dyDescent="0.3">
      <c r="A30" s="5" t="s">
        <v>20</v>
      </c>
      <c r="B30" s="2" t="e">
        <f>B28*(#REF!+1)</f>
        <v>#REF!</v>
      </c>
      <c r="C30" s="2" t="e">
        <f>B28*(#REF!+1)</f>
        <v>#REF!</v>
      </c>
      <c r="D30" s="2" t="e">
        <f>B28*(#REF!+1)</f>
        <v>#REF!</v>
      </c>
    </row>
    <row r="31" spans="1:4" ht="20" customHeight="1" x14ac:dyDescent="0.3">
      <c r="A31" s="5" t="s">
        <v>30</v>
      </c>
      <c r="B31" s="5">
        <v>8</v>
      </c>
      <c r="C31" s="5">
        <v>4</v>
      </c>
      <c r="D31" s="5">
        <v>4</v>
      </c>
    </row>
    <row r="32" spans="1:4" ht="20" customHeight="1" x14ac:dyDescent="0.3">
      <c r="A32" s="5" t="s">
        <v>31</v>
      </c>
      <c r="B32" s="5">
        <f>B29/B3*B31</f>
        <v>15.360000000000003</v>
      </c>
      <c r="C32" s="5" t="e">
        <f>C29/C3*C31</f>
        <v>#DIV/0!</v>
      </c>
      <c r="D32" s="5" t="e">
        <f>D29/D3*D31</f>
        <v>#DIV/0!</v>
      </c>
    </row>
    <row r="33" spans="1:4" ht="20" customHeight="1" x14ac:dyDescent="0.3">
      <c r="A33" s="5" t="s">
        <v>32</v>
      </c>
      <c r="B33" s="5">
        <v>32</v>
      </c>
      <c r="C33" s="5">
        <v>16</v>
      </c>
      <c r="D33" s="5">
        <v>8</v>
      </c>
    </row>
    <row r="34" spans="1:4" ht="20" customHeight="1" x14ac:dyDescent="0.3">
      <c r="A34" s="5" t="s">
        <v>33</v>
      </c>
      <c r="B34" s="5">
        <f>B29/B3*B33</f>
        <v>61.440000000000012</v>
      </c>
      <c r="C34" s="5" t="e">
        <f>C29/C3*C33</f>
        <v>#DIV/0!</v>
      </c>
      <c r="D34" s="5" t="e">
        <f>D29/D3*D33</f>
        <v>#DIV/0!</v>
      </c>
    </row>
    <row r="35" spans="1:4" ht="20" customHeight="1" x14ac:dyDescent="0.3">
      <c r="A35" s="5" t="s">
        <v>34</v>
      </c>
      <c r="B35" s="5">
        <f>B31+B33</f>
        <v>40</v>
      </c>
      <c r="C35" s="5">
        <f t="shared" ref="C35:D35" si="4">C31+C33</f>
        <v>20</v>
      </c>
      <c r="D35" s="5">
        <f t="shared" si="4"/>
        <v>12</v>
      </c>
    </row>
    <row r="36" spans="1:4" ht="20" customHeight="1" x14ac:dyDescent="0.3">
      <c r="A36" s="5" t="s">
        <v>35</v>
      </c>
      <c r="B36" s="5">
        <f>B29/B3*B35</f>
        <v>76.800000000000011</v>
      </c>
      <c r="C36" s="5" t="e">
        <f>C29/C3*C35</f>
        <v>#DIV/0!</v>
      </c>
      <c r="D36" s="5" t="e">
        <f>D29/D3*D35</f>
        <v>#DIV/0!</v>
      </c>
    </row>
    <row r="37" spans="1:4" ht="20" customHeight="1" x14ac:dyDescent="0.3">
      <c r="A37" s="5" t="s">
        <v>60</v>
      </c>
      <c r="B37" s="5">
        <f>B34-B32</f>
        <v>46.080000000000013</v>
      </c>
      <c r="C37" s="5" t="e">
        <f>C34-C32</f>
        <v>#DIV/0!</v>
      </c>
      <c r="D37" s="5" t="e">
        <f t="shared" ref="D37" si="5">D34-D32</f>
        <v>#DIV/0!</v>
      </c>
    </row>
  </sheetData>
  <mergeCells count="9">
    <mergeCell ref="B10:D10"/>
    <mergeCell ref="A1:D1"/>
    <mergeCell ref="B3:D3"/>
    <mergeCell ref="B11:D11"/>
    <mergeCell ref="B5:D5"/>
    <mergeCell ref="B6:D6"/>
    <mergeCell ref="B7:D7"/>
    <mergeCell ref="B8:D8"/>
    <mergeCell ref="B9:D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73AC-1938-46EA-A5D7-E244803457DA}">
  <dimension ref="A1:H25"/>
  <sheetViews>
    <sheetView workbookViewId="0">
      <pane ySplit="1" topLeftCell="A2" activePane="bottomLeft" state="frozen"/>
      <selection pane="bottomLeft" activeCell="H30" sqref="H30"/>
    </sheetView>
  </sheetViews>
  <sheetFormatPr defaultColWidth="25.58203125" defaultRowHeight="20" customHeight="1" x14ac:dyDescent="0.3"/>
  <cols>
    <col min="1" max="6" width="25.58203125" style="1"/>
    <col min="7" max="7" width="30.58203125" style="1" customWidth="1"/>
    <col min="8" max="16384" width="25.58203125" style="1"/>
  </cols>
  <sheetData>
    <row r="1" spans="1:8" ht="20" customHeight="1" x14ac:dyDescent="0.3">
      <c r="A1" s="18" t="s">
        <v>55</v>
      </c>
      <c r="B1" s="18" t="s">
        <v>69</v>
      </c>
      <c r="C1" s="18" t="s">
        <v>70</v>
      </c>
      <c r="D1" s="11" t="s">
        <v>71</v>
      </c>
      <c r="E1" s="11" t="s">
        <v>72</v>
      </c>
      <c r="F1" s="11" t="s">
        <v>73</v>
      </c>
      <c r="G1" s="5" t="s">
        <v>74</v>
      </c>
      <c r="H1" s="11" t="s">
        <v>75</v>
      </c>
    </row>
    <row r="2" spans="1:8" ht="20" customHeight="1" x14ac:dyDescent="0.3">
      <c r="A2" s="5">
        <v>20</v>
      </c>
      <c r="B2" s="5">
        <v>1</v>
      </c>
      <c r="C2" s="38">
        <v>0.5</v>
      </c>
      <c r="D2" s="11">
        <v>48</v>
      </c>
      <c r="E2" s="11">
        <f>D2*B2</f>
        <v>48</v>
      </c>
      <c r="F2" s="11">
        <f>E2*C2</f>
        <v>24</v>
      </c>
      <c r="G2" s="11">
        <v>4</v>
      </c>
      <c r="H2" s="11">
        <f>F2/G2</f>
        <v>6</v>
      </c>
    </row>
    <row r="3" spans="1:8" ht="20" customHeight="1" x14ac:dyDescent="0.3">
      <c r="A3" s="5">
        <v>20</v>
      </c>
      <c r="B3" s="5">
        <v>1</v>
      </c>
      <c r="C3" s="38">
        <v>0.75</v>
      </c>
      <c r="D3" s="11">
        <v>48</v>
      </c>
      <c r="E3" s="11">
        <f t="shared" ref="E3:E25" si="0">D3*B3</f>
        <v>48</v>
      </c>
      <c r="F3" s="11">
        <f t="shared" ref="F3:F25" si="1">E3*C3</f>
        <v>36</v>
      </c>
      <c r="G3" s="11">
        <v>4</v>
      </c>
      <c r="H3" s="11">
        <f t="shared" ref="H3:H25" si="2">F3/G3</f>
        <v>9</v>
      </c>
    </row>
    <row r="4" spans="1:8" ht="20" customHeight="1" x14ac:dyDescent="0.3">
      <c r="A4" s="5">
        <v>20</v>
      </c>
      <c r="B4" s="5">
        <v>2</v>
      </c>
      <c r="C4" s="38">
        <v>0.5</v>
      </c>
      <c r="D4" s="11">
        <v>48</v>
      </c>
      <c r="E4" s="11">
        <f t="shared" si="0"/>
        <v>96</v>
      </c>
      <c r="F4" s="11">
        <f t="shared" si="1"/>
        <v>48</v>
      </c>
      <c r="G4" s="11">
        <v>4</v>
      </c>
      <c r="H4" s="11">
        <f t="shared" si="2"/>
        <v>12</v>
      </c>
    </row>
    <row r="5" spans="1:8" ht="20" customHeight="1" x14ac:dyDescent="0.3">
      <c r="A5" s="5">
        <v>20</v>
      </c>
      <c r="B5" s="5">
        <v>2</v>
      </c>
      <c r="C5" s="38">
        <v>0.75</v>
      </c>
      <c r="D5" s="11">
        <v>48</v>
      </c>
      <c r="E5" s="11">
        <f t="shared" si="0"/>
        <v>96</v>
      </c>
      <c r="F5" s="11">
        <f t="shared" si="1"/>
        <v>72</v>
      </c>
      <c r="G5" s="11">
        <v>4</v>
      </c>
      <c r="H5" s="11">
        <f t="shared" si="2"/>
        <v>18</v>
      </c>
    </row>
    <row r="6" spans="1:8" ht="20" customHeight="1" x14ac:dyDescent="0.3">
      <c r="A6" s="5">
        <v>20</v>
      </c>
      <c r="B6" s="5">
        <v>4</v>
      </c>
      <c r="C6" s="38">
        <v>0.5</v>
      </c>
      <c r="D6" s="11">
        <v>48</v>
      </c>
      <c r="E6" s="11">
        <f t="shared" si="0"/>
        <v>192</v>
      </c>
      <c r="F6" s="11">
        <f t="shared" si="1"/>
        <v>96</v>
      </c>
      <c r="G6" s="11">
        <v>4</v>
      </c>
      <c r="H6" s="11">
        <f t="shared" si="2"/>
        <v>24</v>
      </c>
    </row>
    <row r="7" spans="1:8" ht="20" customHeight="1" x14ac:dyDescent="0.3">
      <c r="A7" s="5">
        <v>20</v>
      </c>
      <c r="B7" s="5">
        <v>4</v>
      </c>
      <c r="C7" s="38">
        <v>0.75</v>
      </c>
      <c r="D7" s="11">
        <v>48</v>
      </c>
      <c r="E7" s="11">
        <f t="shared" si="0"/>
        <v>192</v>
      </c>
      <c r="F7" s="11">
        <f t="shared" si="1"/>
        <v>144</v>
      </c>
      <c r="G7" s="11">
        <v>4</v>
      </c>
      <c r="H7" s="11">
        <f t="shared" si="2"/>
        <v>36</v>
      </c>
    </row>
    <row r="8" spans="1:8" ht="20" customHeight="1" x14ac:dyDescent="0.3">
      <c r="A8" s="5">
        <v>20</v>
      </c>
      <c r="B8" s="5">
        <v>6</v>
      </c>
      <c r="C8" s="38">
        <v>0.66666666666666663</v>
      </c>
      <c r="D8" s="11">
        <v>48</v>
      </c>
      <c r="E8" s="11">
        <f t="shared" si="0"/>
        <v>288</v>
      </c>
      <c r="F8" s="11">
        <f t="shared" si="1"/>
        <v>192</v>
      </c>
      <c r="G8" s="11">
        <v>4</v>
      </c>
      <c r="H8" s="11">
        <f t="shared" si="2"/>
        <v>48</v>
      </c>
    </row>
    <row r="9" spans="1:8" ht="20" customHeight="1" x14ac:dyDescent="0.3">
      <c r="A9" s="5">
        <v>20</v>
      </c>
      <c r="B9" s="5">
        <v>6</v>
      </c>
      <c r="C9" s="38">
        <v>0.75</v>
      </c>
      <c r="D9" s="11">
        <v>48</v>
      </c>
      <c r="E9" s="11">
        <f t="shared" si="0"/>
        <v>288</v>
      </c>
      <c r="F9" s="11">
        <f t="shared" si="1"/>
        <v>216</v>
      </c>
      <c r="G9" s="11">
        <v>4</v>
      </c>
      <c r="H9" s="11">
        <f t="shared" si="2"/>
        <v>54</v>
      </c>
    </row>
    <row r="10" spans="1:8" ht="20" customHeight="1" x14ac:dyDescent="0.3">
      <c r="A10" s="5">
        <v>10</v>
      </c>
      <c r="B10" s="5">
        <v>1</v>
      </c>
      <c r="C10" s="38">
        <v>0.5</v>
      </c>
      <c r="D10" s="11">
        <v>48</v>
      </c>
      <c r="E10" s="11">
        <f t="shared" si="0"/>
        <v>48</v>
      </c>
      <c r="F10" s="11">
        <f t="shared" si="1"/>
        <v>24</v>
      </c>
      <c r="G10" s="11">
        <v>8</v>
      </c>
      <c r="H10" s="11">
        <f t="shared" si="2"/>
        <v>3</v>
      </c>
    </row>
    <row r="11" spans="1:8" ht="20" customHeight="1" x14ac:dyDescent="0.3">
      <c r="A11" s="5">
        <v>10</v>
      </c>
      <c r="B11" s="5">
        <v>1</v>
      </c>
      <c r="C11" s="38">
        <v>0.75</v>
      </c>
      <c r="D11" s="11">
        <v>48</v>
      </c>
      <c r="E11" s="11">
        <f t="shared" si="0"/>
        <v>48</v>
      </c>
      <c r="F11" s="11">
        <f t="shared" si="1"/>
        <v>36</v>
      </c>
      <c r="G11" s="11">
        <v>8</v>
      </c>
      <c r="H11" s="11">
        <f t="shared" si="2"/>
        <v>4.5</v>
      </c>
    </row>
    <row r="12" spans="1:8" ht="20" customHeight="1" x14ac:dyDescent="0.3">
      <c r="A12" s="5">
        <v>10</v>
      </c>
      <c r="B12" s="5">
        <v>2</v>
      </c>
      <c r="C12" s="38">
        <v>0.5</v>
      </c>
      <c r="D12" s="11">
        <v>48</v>
      </c>
      <c r="E12" s="11">
        <f t="shared" si="0"/>
        <v>96</v>
      </c>
      <c r="F12" s="11">
        <f t="shared" si="1"/>
        <v>48</v>
      </c>
      <c r="G12" s="11">
        <v>8</v>
      </c>
      <c r="H12" s="11">
        <f t="shared" si="2"/>
        <v>6</v>
      </c>
    </row>
    <row r="13" spans="1:8" ht="20" customHeight="1" x14ac:dyDescent="0.3">
      <c r="A13" s="5">
        <v>10</v>
      </c>
      <c r="B13" s="5">
        <v>2</v>
      </c>
      <c r="C13" s="38">
        <v>0.75</v>
      </c>
      <c r="D13" s="11">
        <v>48</v>
      </c>
      <c r="E13" s="11">
        <f t="shared" si="0"/>
        <v>96</v>
      </c>
      <c r="F13" s="11">
        <f t="shared" si="1"/>
        <v>72</v>
      </c>
      <c r="G13" s="11">
        <v>8</v>
      </c>
      <c r="H13" s="11">
        <f t="shared" si="2"/>
        <v>9</v>
      </c>
    </row>
    <row r="14" spans="1:8" ht="20" customHeight="1" x14ac:dyDescent="0.3">
      <c r="A14" s="5">
        <v>10</v>
      </c>
      <c r="B14" s="5">
        <v>4</v>
      </c>
      <c r="C14" s="38">
        <v>0.5</v>
      </c>
      <c r="D14" s="11">
        <v>48</v>
      </c>
      <c r="E14" s="11">
        <f t="shared" si="0"/>
        <v>192</v>
      </c>
      <c r="F14" s="11">
        <f t="shared" si="1"/>
        <v>96</v>
      </c>
      <c r="G14" s="11">
        <v>8</v>
      </c>
      <c r="H14" s="11">
        <f t="shared" si="2"/>
        <v>12</v>
      </c>
    </row>
    <row r="15" spans="1:8" ht="20" customHeight="1" x14ac:dyDescent="0.3">
      <c r="A15" s="5">
        <v>10</v>
      </c>
      <c r="B15" s="5">
        <v>4</v>
      </c>
      <c r="C15" s="38">
        <v>0.75</v>
      </c>
      <c r="D15" s="11">
        <v>48</v>
      </c>
      <c r="E15" s="11">
        <f t="shared" si="0"/>
        <v>192</v>
      </c>
      <c r="F15" s="11">
        <f t="shared" si="1"/>
        <v>144</v>
      </c>
      <c r="G15" s="11">
        <v>8</v>
      </c>
      <c r="H15" s="11">
        <f t="shared" si="2"/>
        <v>18</v>
      </c>
    </row>
    <row r="16" spans="1:8" ht="20" customHeight="1" x14ac:dyDescent="0.3">
      <c r="A16" s="5">
        <v>10</v>
      </c>
      <c r="B16" s="5">
        <v>6</v>
      </c>
      <c r="C16" s="38">
        <v>0.66666666666666663</v>
      </c>
      <c r="D16" s="11">
        <v>48</v>
      </c>
      <c r="E16" s="11">
        <f t="shared" si="0"/>
        <v>288</v>
      </c>
      <c r="F16" s="11">
        <f t="shared" si="1"/>
        <v>192</v>
      </c>
      <c r="G16" s="11">
        <v>8</v>
      </c>
      <c r="H16" s="11">
        <f t="shared" si="2"/>
        <v>24</v>
      </c>
    </row>
    <row r="17" spans="1:8" ht="20" customHeight="1" x14ac:dyDescent="0.3">
      <c r="A17" s="5">
        <v>10</v>
      </c>
      <c r="B17" s="5">
        <v>6</v>
      </c>
      <c r="C17" s="38">
        <v>0.75</v>
      </c>
      <c r="D17" s="11">
        <v>48</v>
      </c>
      <c r="E17" s="11">
        <f t="shared" si="0"/>
        <v>288</v>
      </c>
      <c r="F17" s="11">
        <f t="shared" si="1"/>
        <v>216</v>
      </c>
      <c r="G17" s="11">
        <v>8</v>
      </c>
      <c r="H17" s="11">
        <f t="shared" si="2"/>
        <v>27</v>
      </c>
    </row>
    <row r="18" spans="1:8" ht="20" customHeight="1" x14ac:dyDescent="0.3">
      <c r="A18" s="39">
        <v>5</v>
      </c>
      <c r="B18" s="5">
        <v>1</v>
      </c>
      <c r="C18" s="38">
        <v>0.5</v>
      </c>
      <c r="D18" s="11">
        <v>48</v>
      </c>
      <c r="E18" s="11">
        <f t="shared" si="0"/>
        <v>48</v>
      </c>
      <c r="F18" s="11">
        <f t="shared" si="1"/>
        <v>24</v>
      </c>
      <c r="G18" s="11">
        <v>16</v>
      </c>
      <c r="H18" s="11">
        <f t="shared" si="2"/>
        <v>1.5</v>
      </c>
    </row>
    <row r="19" spans="1:8" ht="20" customHeight="1" x14ac:dyDescent="0.3">
      <c r="A19" s="39">
        <v>5</v>
      </c>
      <c r="B19" s="5">
        <v>1</v>
      </c>
      <c r="C19" s="38">
        <v>0.75</v>
      </c>
      <c r="D19" s="11">
        <v>48</v>
      </c>
      <c r="E19" s="11">
        <f t="shared" si="0"/>
        <v>48</v>
      </c>
      <c r="F19" s="11">
        <f t="shared" si="1"/>
        <v>36</v>
      </c>
      <c r="G19" s="11">
        <v>16</v>
      </c>
      <c r="H19" s="11">
        <f t="shared" si="2"/>
        <v>2.25</v>
      </c>
    </row>
    <row r="20" spans="1:8" ht="20" customHeight="1" x14ac:dyDescent="0.3">
      <c r="A20" s="39">
        <v>5</v>
      </c>
      <c r="B20" s="5">
        <v>2</v>
      </c>
      <c r="C20" s="38">
        <v>0.5</v>
      </c>
      <c r="D20" s="11">
        <v>48</v>
      </c>
      <c r="E20" s="11">
        <f t="shared" si="0"/>
        <v>96</v>
      </c>
      <c r="F20" s="11">
        <f t="shared" si="1"/>
        <v>48</v>
      </c>
      <c r="G20" s="11">
        <v>16</v>
      </c>
      <c r="H20" s="11">
        <f t="shared" si="2"/>
        <v>3</v>
      </c>
    </row>
    <row r="21" spans="1:8" ht="20" customHeight="1" x14ac:dyDescent="0.3">
      <c r="A21" s="39">
        <v>5</v>
      </c>
      <c r="B21" s="5">
        <v>2</v>
      </c>
      <c r="C21" s="38">
        <v>0.75</v>
      </c>
      <c r="D21" s="11">
        <v>48</v>
      </c>
      <c r="E21" s="11">
        <f t="shared" si="0"/>
        <v>96</v>
      </c>
      <c r="F21" s="11">
        <f t="shared" si="1"/>
        <v>72</v>
      </c>
      <c r="G21" s="11">
        <v>16</v>
      </c>
      <c r="H21" s="11">
        <f t="shared" si="2"/>
        <v>4.5</v>
      </c>
    </row>
    <row r="22" spans="1:8" ht="20" customHeight="1" x14ac:dyDescent="0.3">
      <c r="A22" s="39">
        <v>5</v>
      </c>
      <c r="B22" s="5">
        <v>4</v>
      </c>
      <c r="C22" s="38">
        <v>0.5</v>
      </c>
      <c r="D22" s="11">
        <v>48</v>
      </c>
      <c r="E22" s="11">
        <f t="shared" si="0"/>
        <v>192</v>
      </c>
      <c r="F22" s="11">
        <f t="shared" si="1"/>
        <v>96</v>
      </c>
      <c r="G22" s="11">
        <v>16</v>
      </c>
      <c r="H22" s="11">
        <f t="shared" si="2"/>
        <v>6</v>
      </c>
    </row>
    <row r="23" spans="1:8" ht="20" customHeight="1" x14ac:dyDescent="0.3">
      <c r="A23" s="39">
        <v>5</v>
      </c>
      <c r="B23" s="5">
        <v>4</v>
      </c>
      <c r="C23" s="38">
        <v>0.75</v>
      </c>
      <c r="D23" s="11">
        <v>48</v>
      </c>
      <c r="E23" s="11">
        <f t="shared" si="0"/>
        <v>192</v>
      </c>
      <c r="F23" s="11">
        <f t="shared" si="1"/>
        <v>144</v>
      </c>
      <c r="G23" s="11">
        <v>16</v>
      </c>
      <c r="H23" s="11">
        <f t="shared" si="2"/>
        <v>9</v>
      </c>
    </row>
    <row r="24" spans="1:8" ht="20" customHeight="1" x14ac:dyDescent="0.3">
      <c r="A24" s="39">
        <v>5</v>
      </c>
      <c r="B24" s="5">
        <v>6</v>
      </c>
      <c r="C24" s="38">
        <v>0.66666666666666663</v>
      </c>
      <c r="D24" s="11">
        <v>48</v>
      </c>
      <c r="E24" s="11">
        <f t="shared" si="0"/>
        <v>288</v>
      </c>
      <c r="F24" s="11">
        <f t="shared" si="1"/>
        <v>192</v>
      </c>
      <c r="G24" s="11">
        <v>16</v>
      </c>
      <c r="H24" s="11">
        <f t="shared" si="2"/>
        <v>12</v>
      </c>
    </row>
    <row r="25" spans="1:8" ht="20" customHeight="1" x14ac:dyDescent="0.3">
      <c r="A25" s="39">
        <v>5</v>
      </c>
      <c r="B25" s="5">
        <v>6</v>
      </c>
      <c r="C25" s="38">
        <v>0.75</v>
      </c>
      <c r="D25" s="11">
        <v>48</v>
      </c>
      <c r="E25" s="11">
        <f t="shared" si="0"/>
        <v>288</v>
      </c>
      <c r="F25" s="11">
        <f t="shared" si="1"/>
        <v>216</v>
      </c>
      <c r="G25" s="11">
        <v>16</v>
      </c>
      <c r="H25" s="11">
        <f t="shared" si="2"/>
        <v>13.5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8546-B3ED-4584-9605-CE768CB355DD}">
  <dimension ref="A1:J202"/>
  <sheetViews>
    <sheetView zoomScale="115" zoomScaleNormal="115" workbookViewId="0">
      <pane ySplit="2" topLeftCell="A3" activePane="bottomLeft" state="frozen"/>
      <selection pane="bottomLeft" activeCell="B31" sqref="B31"/>
    </sheetView>
  </sheetViews>
  <sheetFormatPr defaultColWidth="15.58203125" defaultRowHeight="15.5" x14ac:dyDescent="0.3"/>
  <cols>
    <col min="1" max="16384" width="15.58203125" style="1"/>
  </cols>
  <sheetData>
    <row r="1" spans="1:10" x14ac:dyDescent="0.3">
      <c r="A1" s="11"/>
      <c r="B1" s="33" t="s">
        <v>6</v>
      </c>
      <c r="C1" s="33"/>
      <c r="D1" s="33"/>
      <c r="E1" s="34" t="s">
        <v>7</v>
      </c>
      <c r="F1" s="34"/>
      <c r="G1" s="34"/>
      <c r="H1" s="35" t="s">
        <v>8</v>
      </c>
      <c r="I1" s="35"/>
      <c r="J1" s="35"/>
    </row>
    <row r="2" spans="1:10" ht="20" customHeight="1" x14ac:dyDescent="0.3">
      <c r="A2" s="11" t="s">
        <v>45</v>
      </c>
      <c r="B2" s="19" t="s">
        <v>46</v>
      </c>
      <c r="C2" s="19" t="s">
        <v>47</v>
      </c>
      <c r="D2" s="19" t="s">
        <v>48</v>
      </c>
      <c r="E2" s="20" t="s">
        <v>46</v>
      </c>
      <c r="F2" s="20" t="s">
        <v>47</v>
      </c>
      <c r="G2" s="20" t="s">
        <v>48</v>
      </c>
      <c r="H2" s="21" t="s">
        <v>46</v>
      </c>
      <c r="I2" s="21" t="s">
        <v>47</v>
      </c>
      <c r="J2" s="21" t="s">
        <v>48</v>
      </c>
    </row>
    <row r="3" spans="1:10" ht="20" customHeight="1" x14ac:dyDescent="0.3">
      <c r="A3" s="1">
        <v>1</v>
      </c>
      <c r="B3" s="1">
        <v>470.5</v>
      </c>
      <c r="C3" s="1">
        <v>471</v>
      </c>
      <c r="D3" s="1">
        <v>471.5</v>
      </c>
      <c r="E3" s="1">
        <v>470.25</v>
      </c>
      <c r="F3" s="1">
        <v>470.5</v>
      </c>
      <c r="G3" s="1">
        <v>470.75</v>
      </c>
      <c r="H3" s="1">
        <v>470</v>
      </c>
      <c r="I3" s="1">
        <v>470.1</v>
      </c>
      <c r="J3" s="1">
        <v>470.2</v>
      </c>
    </row>
    <row r="4" spans="1:10" ht="20" customHeight="1" x14ac:dyDescent="0.3">
      <c r="A4" s="1">
        <v>2</v>
      </c>
      <c r="B4" s="1">
        <v>471.5</v>
      </c>
      <c r="C4" s="1">
        <v>472</v>
      </c>
      <c r="D4" s="1">
        <v>472.5</v>
      </c>
      <c r="E4" s="1">
        <v>470.75</v>
      </c>
      <c r="F4" s="1">
        <v>471</v>
      </c>
      <c r="G4" s="1">
        <v>471.25</v>
      </c>
      <c r="H4" s="1">
        <v>470.2</v>
      </c>
      <c r="I4" s="1">
        <v>470.3</v>
      </c>
      <c r="J4" s="1">
        <v>470.4</v>
      </c>
    </row>
    <row r="5" spans="1:10" ht="20" customHeight="1" x14ac:dyDescent="0.3">
      <c r="A5" s="1">
        <v>3</v>
      </c>
      <c r="B5" s="1">
        <v>472.5</v>
      </c>
      <c r="C5" s="1">
        <v>473</v>
      </c>
      <c r="D5" s="1">
        <v>473.5</v>
      </c>
      <c r="E5" s="1">
        <v>471.25</v>
      </c>
      <c r="F5" s="1">
        <v>471.5</v>
      </c>
      <c r="G5" s="1">
        <v>471.75</v>
      </c>
      <c r="H5" s="1">
        <v>470.4</v>
      </c>
      <c r="I5" s="1">
        <v>470.5</v>
      </c>
      <c r="J5" s="1">
        <v>470.6</v>
      </c>
    </row>
    <row r="6" spans="1:10" ht="20" customHeight="1" x14ac:dyDescent="0.3">
      <c r="A6" s="1">
        <v>4</v>
      </c>
      <c r="B6" s="1">
        <v>473.5</v>
      </c>
      <c r="C6" s="1">
        <v>474</v>
      </c>
      <c r="D6" s="1">
        <v>474.5</v>
      </c>
      <c r="E6" s="1">
        <v>471.75</v>
      </c>
      <c r="F6" s="1">
        <v>472</v>
      </c>
      <c r="G6" s="1">
        <v>472.25</v>
      </c>
      <c r="H6" s="1">
        <v>470.6</v>
      </c>
      <c r="I6" s="1">
        <v>470.7</v>
      </c>
      <c r="J6" s="1">
        <v>470.8</v>
      </c>
    </row>
    <row r="7" spans="1:10" ht="20" customHeight="1" x14ac:dyDescent="0.3">
      <c r="A7" s="1">
        <v>5</v>
      </c>
      <c r="B7" s="1">
        <v>474.5</v>
      </c>
      <c r="C7" s="1">
        <v>475</v>
      </c>
      <c r="D7" s="1">
        <v>475.5</v>
      </c>
      <c r="E7" s="1">
        <v>472.25</v>
      </c>
      <c r="F7" s="1">
        <v>472.5</v>
      </c>
      <c r="G7" s="1">
        <v>472.75</v>
      </c>
      <c r="H7" s="1">
        <v>470.8</v>
      </c>
      <c r="I7" s="1">
        <v>470.9</v>
      </c>
      <c r="J7" s="1">
        <v>471</v>
      </c>
    </row>
    <row r="8" spans="1:10" ht="20" customHeight="1" x14ac:dyDescent="0.3">
      <c r="A8" s="1">
        <v>6</v>
      </c>
      <c r="B8" s="1">
        <v>475.5</v>
      </c>
      <c r="C8" s="1">
        <v>476</v>
      </c>
      <c r="D8" s="1">
        <v>476.5</v>
      </c>
      <c r="E8" s="1">
        <v>472.75</v>
      </c>
      <c r="F8" s="1">
        <v>473</v>
      </c>
      <c r="G8" s="1">
        <v>473.25</v>
      </c>
      <c r="H8" s="1">
        <v>471</v>
      </c>
      <c r="I8" s="1">
        <v>471.1</v>
      </c>
      <c r="J8" s="1">
        <v>471.2</v>
      </c>
    </row>
    <row r="9" spans="1:10" ht="20" customHeight="1" x14ac:dyDescent="0.3">
      <c r="A9" s="1">
        <v>7</v>
      </c>
      <c r="B9" s="1">
        <v>476.5</v>
      </c>
      <c r="C9" s="1">
        <v>477</v>
      </c>
      <c r="D9" s="1">
        <v>477.5</v>
      </c>
      <c r="E9" s="1">
        <v>473.25</v>
      </c>
      <c r="F9" s="1">
        <v>473.5</v>
      </c>
      <c r="G9" s="1">
        <v>473.75</v>
      </c>
      <c r="H9" s="1">
        <v>471.2</v>
      </c>
      <c r="I9" s="1">
        <v>471.3</v>
      </c>
      <c r="J9" s="1">
        <v>471.4</v>
      </c>
    </row>
    <row r="10" spans="1:10" ht="20" customHeight="1" x14ac:dyDescent="0.3">
      <c r="A10" s="1">
        <v>8</v>
      </c>
      <c r="B10" s="1">
        <v>477.5</v>
      </c>
      <c r="C10" s="1">
        <v>478</v>
      </c>
      <c r="D10" s="1">
        <v>478.5</v>
      </c>
      <c r="E10" s="1">
        <v>473.75</v>
      </c>
      <c r="F10" s="1">
        <v>474</v>
      </c>
      <c r="G10" s="1">
        <v>474.25</v>
      </c>
      <c r="H10" s="1">
        <v>471.4</v>
      </c>
      <c r="I10" s="1">
        <v>471.5</v>
      </c>
      <c r="J10" s="1">
        <v>471.6</v>
      </c>
    </row>
    <row r="11" spans="1:10" ht="20" customHeight="1" x14ac:dyDescent="0.3">
      <c r="A11" s="1">
        <v>9</v>
      </c>
      <c r="B11" s="1">
        <v>478.5</v>
      </c>
      <c r="C11" s="1">
        <v>479</v>
      </c>
      <c r="D11" s="1">
        <v>479.5</v>
      </c>
      <c r="E11" s="1">
        <v>474.25</v>
      </c>
      <c r="F11" s="1">
        <v>474.5</v>
      </c>
      <c r="G11" s="1">
        <v>474.75</v>
      </c>
      <c r="H11" s="1">
        <v>471.6</v>
      </c>
      <c r="I11" s="1">
        <v>471.7</v>
      </c>
      <c r="J11" s="1">
        <v>471.8</v>
      </c>
    </row>
    <row r="12" spans="1:10" ht="20" customHeight="1" x14ac:dyDescent="0.3">
      <c r="A12" s="1">
        <v>10</v>
      </c>
      <c r="B12" s="1">
        <v>479.5</v>
      </c>
      <c r="C12" s="1">
        <v>480</v>
      </c>
      <c r="D12" s="1">
        <v>480.5</v>
      </c>
      <c r="E12" s="1">
        <v>474.75</v>
      </c>
      <c r="F12" s="1">
        <v>475</v>
      </c>
      <c r="G12" s="1">
        <v>475.25</v>
      </c>
      <c r="H12" s="1">
        <v>471.8</v>
      </c>
      <c r="I12" s="1">
        <v>471.9</v>
      </c>
      <c r="J12" s="1">
        <v>472</v>
      </c>
    </row>
    <row r="13" spans="1:10" ht="20" customHeight="1" x14ac:dyDescent="0.3">
      <c r="A13" s="1">
        <v>11</v>
      </c>
      <c r="B13" s="1">
        <v>480.5</v>
      </c>
      <c r="C13" s="1">
        <v>481</v>
      </c>
      <c r="D13" s="1">
        <v>481.5</v>
      </c>
      <c r="E13" s="1">
        <v>475.25</v>
      </c>
      <c r="F13" s="1">
        <v>475.5</v>
      </c>
      <c r="G13" s="1">
        <v>475.75</v>
      </c>
      <c r="H13" s="1">
        <v>472</v>
      </c>
      <c r="I13" s="1">
        <v>472.1</v>
      </c>
      <c r="J13" s="1">
        <v>472.2</v>
      </c>
    </row>
    <row r="14" spans="1:10" ht="20" customHeight="1" x14ac:dyDescent="0.3">
      <c r="A14" s="1">
        <v>12</v>
      </c>
      <c r="B14" s="1">
        <v>481.5</v>
      </c>
      <c r="C14" s="1">
        <v>482</v>
      </c>
      <c r="D14" s="1">
        <v>482.5</v>
      </c>
      <c r="E14" s="1">
        <v>475.75</v>
      </c>
      <c r="F14" s="1">
        <v>476</v>
      </c>
      <c r="G14" s="1">
        <v>476.25</v>
      </c>
      <c r="H14" s="1">
        <v>472.2</v>
      </c>
      <c r="I14" s="1">
        <v>472.3</v>
      </c>
      <c r="J14" s="1">
        <v>472.4</v>
      </c>
    </row>
    <row r="15" spans="1:10" ht="20" customHeight="1" x14ac:dyDescent="0.3">
      <c r="A15" s="1">
        <v>13</v>
      </c>
      <c r="B15" s="1">
        <v>482.5</v>
      </c>
      <c r="C15" s="1">
        <v>483</v>
      </c>
      <c r="D15" s="1">
        <v>483.5</v>
      </c>
      <c r="E15" s="1">
        <v>476.25</v>
      </c>
      <c r="F15" s="1">
        <v>476.5</v>
      </c>
      <c r="G15" s="1">
        <v>476.75</v>
      </c>
      <c r="H15" s="1">
        <v>472.4</v>
      </c>
      <c r="I15" s="1">
        <v>472.5</v>
      </c>
      <c r="J15" s="1">
        <v>472.6</v>
      </c>
    </row>
    <row r="16" spans="1:10" ht="20" customHeight="1" x14ac:dyDescent="0.3">
      <c r="A16" s="1">
        <v>14</v>
      </c>
      <c r="B16" s="1">
        <v>483.5</v>
      </c>
      <c r="C16" s="1">
        <v>484</v>
      </c>
      <c r="D16" s="1">
        <v>484.5</v>
      </c>
      <c r="E16" s="1">
        <v>476.75</v>
      </c>
      <c r="F16" s="1">
        <v>477</v>
      </c>
      <c r="G16" s="1">
        <v>477.25</v>
      </c>
      <c r="H16" s="1">
        <v>472.6</v>
      </c>
      <c r="I16" s="1">
        <v>472.7</v>
      </c>
      <c r="J16" s="1">
        <v>472.8</v>
      </c>
    </row>
    <row r="17" spans="1:10" ht="20" customHeight="1" x14ac:dyDescent="0.3">
      <c r="A17" s="1">
        <v>15</v>
      </c>
      <c r="B17" s="1">
        <v>484.5</v>
      </c>
      <c r="C17" s="1">
        <v>485</v>
      </c>
      <c r="D17" s="1">
        <v>485.5</v>
      </c>
      <c r="E17" s="1">
        <v>477.25</v>
      </c>
      <c r="F17" s="1">
        <v>477.5</v>
      </c>
      <c r="G17" s="1">
        <v>477.75</v>
      </c>
      <c r="H17" s="1">
        <v>472.8</v>
      </c>
      <c r="I17" s="1">
        <v>472.9</v>
      </c>
      <c r="J17" s="1">
        <v>473</v>
      </c>
    </row>
    <row r="18" spans="1:10" ht="20" customHeight="1" x14ac:dyDescent="0.3">
      <c r="A18" s="1">
        <v>16</v>
      </c>
      <c r="B18" s="1">
        <v>485.5</v>
      </c>
      <c r="C18" s="1">
        <v>486</v>
      </c>
      <c r="D18" s="1">
        <v>486.5</v>
      </c>
      <c r="E18" s="1">
        <v>477.75</v>
      </c>
      <c r="F18" s="1">
        <v>478</v>
      </c>
      <c r="G18" s="1">
        <v>478.25</v>
      </c>
      <c r="H18" s="1">
        <v>473</v>
      </c>
      <c r="I18" s="1">
        <v>473.1</v>
      </c>
      <c r="J18" s="1">
        <v>473.2</v>
      </c>
    </row>
    <row r="19" spans="1:10" ht="20" customHeight="1" x14ac:dyDescent="0.3">
      <c r="A19" s="1">
        <v>17</v>
      </c>
      <c r="B19" s="1">
        <v>486.5</v>
      </c>
      <c r="C19" s="1">
        <v>487</v>
      </c>
      <c r="D19" s="1">
        <v>487.5</v>
      </c>
      <c r="E19" s="1">
        <v>478.25</v>
      </c>
      <c r="F19" s="1">
        <v>478.5</v>
      </c>
      <c r="G19" s="1">
        <v>478.75</v>
      </c>
      <c r="H19" s="1">
        <v>473.2</v>
      </c>
      <c r="I19" s="1">
        <v>473.3</v>
      </c>
      <c r="J19" s="1">
        <v>473.4</v>
      </c>
    </row>
    <row r="20" spans="1:10" ht="20" customHeight="1" x14ac:dyDescent="0.3">
      <c r="A20" s="1">
        <v>18</v>
      </c>
      <c r="B20" s="1">
        <v>487.5</v>
      </c>
      <c r="C20" s="1">
        <v>488</v>
      </c>
      <c r="D20" s="1">
        <v>488.5</v>
      </c>
      <c r="E20" s="1">
        <v>478.75</v>
      </c>
      <c r="F20" s="1">
        <v>479</v>
      </c>
      <c r="G20" s="1">
        <v>479.25</v>
      </c>
      <c r="H20" s="1">
        <v>473.4</v>
      </c>
      <c r="I20" s="1">
        <v>473.5</v>
      </c>
      <c r="J20" s="1">
        <v>473.6</v>
      </c>
    </row>
    <row r="21" spans="1:10" ht="20" customHeight="1" x14ac:dyDescent="0.3">
      <c r="A21" s="1">
        <v>19</v>
      </c>
      <c r="B21" s="1">
        <v>488.5</v>
      </c>
      <c r="C21" s="1">
        <v>489</v>
      </c>
      <c r="D21" s="1">
        <v>489.5</v>
      </c>
      <c r="E21" s="1">
        <v>479.25</v>
      </c>
      <c r="F21" s="1">
        <v>479.5</v>
      </c>
      <c r="G21" s="1">
        <v>479.75</v>
      </c>
      <c r="H21" s="1">
        <v>473.6</v>
      </c>
      <c r="I21" s="1">
        <v>473.7</v>
      </c>
      <c r="J21" s="1">
        <v>473.8</v>
      </c>
    </row>
    <row r="22" spans="1:10" ht="20" customHeight="1" x14ac:dyDescent="0.3">
      <c r="A22" s="1">
        <v>20</v>
      </c>
      <c r="B22" s="1">
        <v>489.5</v>
      </c>
      <c r="C22" s="1">
        <v>490</v>
      </c>
      <c r="D22" s="1">
        <v>490.5</v>
      </c>
      <c r="E22" s="1">
        <v>479.75</v>
      </c>
      <c r="F22" s="1">
        <v>480</v>
      </c>
      <c r="G22" s="1">
        <v>480.25</v>
      </c>
      <c r="H22" s="1">
        <v>473.8</v>
      </c>
      <c r="I22" s="1">
        <v>473.9</v>
      </c>
      <c r="J22" s="1">
        <v>474</v>
      </c>
    </row>
    <row r="23" spans="1:10" ht="20" customHeight="1" x14ac:dyDescent="0.3">
      <c r="A23" s="1">
        <v>21</v>
      </c>
      <c r="B23" s="1">
        <v>490.5</v>
      </c>
      <c r="C23" s="1">
        <v>491</v>
      </c>
      <c r="D23" s="1">
        <v>491.5</v>
      </c>
      <c r="E23" s="1">
        <v>480.25</v>
      </c>
      <c r="F23" s="1">
        <v>480.5</v>
      </c>
      <c r="G23" s="1">
        <v>480.75</v>
      </c>
      <c r="H23" s="1">
        <v>474</v>
      </c>
      <c r="I23" s="1">
        <v>474.1</v>
      </c>
      <c r="J23" s="1">
        <v>474.2</v>
      </c>
    </row>
    <row r="24" spans="1:10" ht="20" customHeight="1" x14ac:dyDescent="0.3">
      <c r="A24" s="1">
        <v>22</v>
      </c>
      <c r="B24" s="1">
        <v>491.5</v>
      </c>
      <c r="C24" s="1">
        <v>492</v>
      </c>
      <c r="D24" s="1">
        <v>492.5</v>
      </c>
      <c r="E24" s="1">
        <v>480.75</v>
      </c>
      <c r="F24" s="1">
        <v>481</v>
      </c>
      <c r="G24" s="1">
        <v>481.25</v>
      </c>
      <c r="H24" s="1">
        <v>474.2</v>
      </c>
      <c r="I24" s="1">
        <v>474.3</v>
      </c>
      <c r="J24" s="1">
        <v>474.4</v>
      </c>
    </row>
    <row r="25" spans="1:10" ht="20" customHeight="1" x14ac:dyDescent="0.3">
      <c r="A25" s="1">
        <v>23</v>
      </c>
      <c r="B25" s="1">
        <v>492.5</v>
      </c>
      <c r="C25" s="1">
        <v>493</v>
      </c>
      <c r="D25" s="1">
        <v>493.5</v>
      </c>
      <c r="E25" s="1">
        <v>481.25</v>
      </c>
      <c r="F25" s="1">
        <v>481.5</v>
      </c>
      <c r="G25" s="1">
        <v>481.75</v>
      </c>
      <c r="H25" s="1">
        <v>474.4</v>
      </c>
      <c r="I25" s="1">
        <v>474.5</v>
      </c>
      <c r="J25" s="1">
        <v>474.6</v>
      </c>
    </row>
    <row r="26" spans="1:10" ht="20" customHeight="1" x14ac:dyDescent="0.3">
      <c r="A26" s="1">
        <v>24</v>
      </c>
      <c r="B26" s="1">
        <v>493.5</v>
      </c>
      <c r="C26" s="1">
        <v>494</v>
      </c>
      <c r="D26" s="1">
        <v>494.5</v>
      </c>
      <c r="E26" s="1">
        <v>481.75</v>
      </c>
      <c r="F26" s="1">
        <v>482</v>
      </c>
      <c r="G26" s="1">
        <v>482.25</v>
      </c>
      <c r="H26" s="1">
        <v>474.6</v>
      </c>
      <c r="I26" s="1">
        <v>474.7</v>
      </c>
      <c r="J26" s="1">
        <v>474.8</v>
      </c>
    </row>
    <row r="27" spans="1:10" ht="20" customHeight="1" x14ac:dyDescent="0.3">
      <c r="A27" s="1">
        <v>25</v>
      </c>
      <c r="B27" s="1">
        <v>494.5</v>
      </c>
      <c r="C27" s="1">
        <v>495</v>
      </c>
      <c r="D27" s="1">
        <v>495.5</v>
      </c>
      <c r="E27" s="1">
        <v>482.25</v>
      </c>
      <c r="F27" s="1">
        <v>482.5</v>
      </c>
      <c r="G27" s="1">
        <v>482.75</v>
      </c>
      <c r="H27" s="1">
        <v>474.8</v>
      </c>
      <c r="I27" s="1">
        <v>474.9</v>
      </c>
      <c r="J27" s="1">
        <v>475</v>
      </c>
    </row>
    <row r="28" spans="1:10" ht="20" customHeight="1" x14ac:dyDescent="0.3">
      <c r="A28" s="1">
        <v>26</v>
      </c>
      <c r="B28" s="1">
        <v>495.5</v>
      </c>
      <c r="C28" s="1">
        <v>496</v>
      </c>
      <c r="D28" s="1">
        <v>496.5</v>
      </c>
      <c r="E28" s="1">
        <v>482.75</v>
      </c>
      <c r="F28" s="1">
        <v>483</v>
      </c>
      <c r="G28" s="1">
        <v>483.25</v>
      </c>
      <c r="H28" s="1">
        <v>475</v>
      </c>
      <c r="I28" s="1">
        <v>475.1</v>
      </c>
      <c r="J28" s="1">
        <v>475.2</v>
      </c>
    </row>
    <row r="29" spans="1:10" ht="20" customHeight="1" x14ac:dyDescent="0.3">
      <c r="A29" s="1">
        <v>27</v>
      </c>
      <c r="B29" s="1">
        <v>496.5</v>
      </c>
      <c r="C29" s="1">
        <v>497</v>
      </c>
      <c r="D29" s="1">
        <v>497.5</v>
      </c>
      <c r="E29" s="1">
        <v>483.25</v>
      </c>
      <c r="F29" s="1">
        <v>483.5</v>
      </c>
      <c r="G29" s="1">
        <v>483.75</v>
      </c>
      <c r="H29" s="1">
        <v>475.2</v>
      </c>
      <c r="I29" s="1">
        <v>475.3</v>
      </c>
      <c r="J29" s="1">
        <v>475.4</v>
      </c>
    </row>
    <row r="30" spans="1:10" ht="20" customHeight="1" x14ac:dyDescent="0.3">
      <c r="A30" s="1">
        <v>28</v>
      </c>
      <c r="B30" s="1">
        <v>497.5</v>
      </c>
      <c r="C30" s="1">
        <v>498</v>
      </c>
      <c r="D30" s="1">
        <v>498.5</v>
      </c>
      <c r="E30" s="1">
        <v>483.75</v>
      </c>
      <c r="F30" s="1">
        <v>484</v>
      </c>
      <c r="G30" s="1">
        <v>484.25</v>
      </c>
      <c r="H30" s="1">
        <v>475.4</v>
      </c>
      <c r="I30" s="1">
        <v>475.5</v>
      </c>
      <c r="J30" s="1">
        <v>475.6</v>
      </c>
    </row>
    <row r="31" spans="1:10" ht="20" customHeight="1" x14ac:dyDescent="0.3">
      <c r="A31" s="1">
        <v>29</v>
      </c>
      <c r="B31" s="1">
        <v>498.5</v>
      </c>
      <c r="C31" s="1">
        <v>499</v>
      </c>
      <c r="D31" s="1">
        <v>499.5</v>
      </c>
      <c r="E31" s="1">
        <v>484.25</v>
      </c>
      <c r="F31" s="1">
        <v>484.5</v>
      </c>
      <c r="G31" s="1">
        <v>484.75</v>
      </c>
      <c r="H31" s="1">
        <v>475.6</v>
      </c>
      <c r="I31" s="1">
        <v>475.7</v>
      </c>
      <c r="J31" s="1">
        <v>475.8</v>
      </c>
    </row>
    <row r="32" spans="1:10" ht="20" customHeight="1" x14ac:dyDescent="0.3">
      <c r="A32" s="1">
        <v>30</v>
      </c>
      <c r="B32" s="1">
        <v>499.5</v>
      </c>
      <c r="C32" s="1">
        <v>500</v>
      </c>
      <c r="D32" s="1">
        <v>500.5</v>
      </c>
      <c r="E32" s="1">
        <v>484.75</v>
      </c>
      <c r="F32" s="1">
        <v>485</v>
      </c>
      <c r="G32" s="1">
        <v>485.25</v>
      </c>
      <c r="H32" s="1">
        <v>475.8</v>
      </c>
      <c r="I32" s="1">
        <v>475.9</v>
      </c>
      <c r="J32" s="1">
        <v>476</v>
      </c>
    </row>
    <row r="33" spans="1:10" ht="20" customHeight="1" x14ac:dyDescent="0.3">
      <c r="A33" s="1">
        <v>31</v>
      </c>
      <c r="B33" s="1">
        <v>500.5</v>
      </c>
      <c r="C33" s="1">
        <v>501</v>
      </c>
      <c r="D33" s="1">
        <v>501.5</v>
      </c>
      <c r="E33" s="1">
        <v>485.25</v>
      </c>
      <c r="F33" s="1">
        <v>485.5</v>
      </c>
      <c r="G33" s="1">
        <v>485.75</v>
      </c>
      <c r="H33" s="1">
        <v>476</v>
      </c>
      <c r="I33" s="1">
        <v>476.1</v>
      </c>
      <c r="J33" s="1">
        <v>476.2</v>
      </c>
    </row>
    <row r="34" spans="1:10" ht="20" customHeight="1" x14ac:dyDescent="0.3">
      <c r="A34" s="1">
        <v>32</v>
      </c>
      <c r="B34" s="1">
        <v>501.5</v>
      </c>
      <c r="C34" s="1">
        <v>502</v>
      </c>
      <c r="D34" s="1">
        <v>502.5</v>
      </c>
      <c r="E34" s="1">
        <v>485.75</v>
      </c>
      <c r="F34" s="1">
        <v>486</v>
      </c>
      <c r="G34" s="1">
        <v>486.25</v>
      </c>
      <c r="H34" s="1">
        <v>476.2</v>
      </c>
      <c r="I34" s="1">
        <v>476.3</v>
      </c>
      <c r="J34" s="1">
        <v>476.4</v>
      </c>
    </row>
    <row r="35" spans="1:10" ht="20" customHeight="1" x14ac:dyDescent="0.3">
      <c r="A35" s="1">
        <v>33</v>
      </c>
      <c r="B35" s="1">
        <v>502.5</v>
      </c>
      <c r="C35" s="1">
        <v>503</v>
      </c>
      <c r="D35" s="1">
        <v>503.5</v>
      </c>
      <c r="E35" s="1">
        <v>486.25</v>
      </c>
      <c r="F35" s="1">
        <v>486.5</v>
      </c>
      <c r="G35" s="1">
        <v>486.75</v>
      </c>
      <c r="H35" s="1">
        <v>476.4</v>
      </c>
      <c r="I35" s="1">
        <v>476.5</v>
      </c>
      <c r="J35" s="1">
        <v>476.6</v>
      </c>
    </row>
    <row r="36" spans="1:10" ht="20" customHeight="1" x14ac:dyDescent="0.3">
      <c r="A36" s="1">
        <v>34</v>
      </c>
      <c r="B36" s="1">
        <v>503.5</v>
      </c>
      <c r="C36" s="1">
        <v>504</v>
      </c>
      <c r="D36" s="1">
        <v>504.5</v>
      </c>
      <c r="E36" s="1">
        <v>486.75</v>
      </c>
      <c r="F36" s="1">
        <v>487</v>
      </c>
      <c r="G36" s="1">
        <v>487.25</v>
      </c>
      <c r="H36" s="1">
        <v>476.6</v>
      </c>
      <c r="I36" s="1">
        <v>476.7</v>
      </c>
      <c r="J36" s="1">
        <v>476.8</v>
      </c>
    </row>
    <row r="37" spans="1:10" ht="20" customHeight="1" x14ac:dyDescent="0.3">
      <c r="A37" s="1">
        <v>35</v>
      </c>
      <c r="B37" s="1">
        <v>504.5</v>
      </c>
      <c r="C37" s="1">
        <v>505</v>
      </c>
      <c r="D37" s="1">
        <v>505.5</v>
      </c>
      <c r="E37" s="1">
        <v>487.25</v>
      </c>
      <c r="F37" s="1">
        <v>487.5</v>
      </c>
      <c r="G37" s="1">
        <v>487.75</v>
      </c>
      <c r="H37" s="1">
        <v>476.8</v>
      </c>
      <c r="I37" s="1">
        <v>476.9</v>
      </c>
      <c r="J37" s="1">
        <v>477</v>
      </c>
    </row>
    <row r="38" spans="1:10" ht="20" customHeight="1" x14ac:dyDescent="0.3">
      <c r="A38" s="1">
        <v>36</v>
      </c>
      <c r="B38" s="1">
        <v>505.5</v>
      </c>
      <c r="C38" s="1">
        <v>506</v>
      </c>
      <c r="D38" s="1">
        <v>506.5</v>
      </c>
      <c r="E38" s="1">
        <v>487.75</v>
      </c>
      <c r="F38" s="1">
        <v>488</v>
      </c>
      <c r="G38" s="1">
        <v>488.25</v>
      </c>
      <c r="H38" s="1">
        <v>477</v>
      </c>
      <c r="I38" s="1">
        <v>477.1</v>
      </c>
      <c r="J38" s="1">
        <v>477.2</v>
      </c>
    </row>
    <row r="39" spans="1:10" ht="20" customHeight="1" x14ac:dyDescent="0.3">
      <c r="A39" s="1">
        <v>37</v>
      </c>
      <c r="B39" s="1">
        <v>506.5</v>
      </c>
      <c r="C39" s="1">
        <v>507</v>
      </c>
      <c r="D39" s="1">
        <v>507.5</v>
      </c>
      <c r="E39" s="1">
        <v>488.25</v>
      </c>
      <c r="F39" s="1">
        <v>488.5</v>
      </c>
      <c r="G39" s="1">
        <v>488.75</v>
      </c>
      <c r="H39" s="1">
        <v>477.2</v>
      </c>
      <c r="I39" s="1">
        <v>477.3</v>
      </c>
      <c r="J39" s="1">
        <v>477.4</v>
      </c>
    </row>
    <row r="40" spans="1:10" ht="20" customHeight="1" x14ac:dyDescent="0.3">
      <c r="A40" s="1">
        <v>38</v>
      </c>
      <c r="B40" s="1">
        <v>507.5</v>
      </c>
      <c r="C40" s="1">
        <v>508</v>
      </c>
      <c r="D40" s="1">
        <v>508.5</v>
      </c>
      <c r="E40" s="1">
        <v>488.75</v>
      </c>
      <c r="F40" s="1">
        <v>489</v>
      </c>
      <c r="G40" s="1">
        <v>489.25</v>
      </c>
      <c r="H40" s="1">
        <v>477.4</v>
      </c>
      <c r="I40" s="1">
        <v>477.5</v>
      </c>
      <c r="J40" s="1">
        <v>477.6</v>
      </c>
    </row>
    <row r="41" spans="1:10" ht="20" customHeight="1" x14ac:dyDescent="0.3">
      <c r="A41" s="16">
        <v>39</v>
      </c>
      <c r="B41" s="16">
        <v>508.5</v>
      </c>
      <c r="C41" s="16">
        <v>509</v>
      </c>
      <c r="D41" s="16">
        <v>509.5</v>
      </c>
      <c r="E41" s="1">
        <v>489.25</v>
      </c>
      <c r="F41" s="1">
        <v>489.5</v>
      </c>
      <c r="G41" s="1">
        <v>489.75</v>
      </c>
      <c r="H41" s="1">
        <v>477.6</v>
      </c>
      <c r="I41" s="1">
        <v>477.7</v>
      </c>
      <c r="J41" s="1">
        <v>477.8</v>
      </c>
    </row>
    <row r="42" spans="1:10" ht="20" customHeight="1" x14ac:dyDescent="0.3">
      <c r="A42" s="1">
        <v>40</v>
      </c>
      <c r="E42" s="1">
        <v>489.75</v>
      </c>
      <c r="F42" s="1">
        <v>490</v>
      </c>
      <c r="G42" s="1">
        <v>490.25</v>
      </c>
      <c r="H42" s="1">
        <v>477.8</v>
      </c>
      <c r="I42" s="1">
        <v>477.9</v>
      </c>
      <c r="J42" s="1">
        <v>478</v>
      </c>
    </row>
    <row r="43" spans="1:10" ht="20" customHeight="1" x14ac:dyDescent="0.3">
      <c r="A43" s="1">
        <v>41</v>
      </c>
      <c r="E43" s="1">
        <v>490.25</v>
      </c>
      <c r="F43" s="1">
        <v>490.5</v>
      </c>
      <c r="G43" s="1">
        <v>490.75</v>
      </c>
      <c r="H43" s="1">
        <v>478</v>
      </c>
      <c r="I43" s="1">
        <v>478.1</v>
      </c>
      <c r="J43" s="1">
        <v>478.2</v>
      </c>
    </row>
    <row r="44" spans="1:10" ht="20" customHeight="1" x14ac:dyDescent="0.3">
      <c r="A44" s="1">
        <v>42</v>
      </c>
      <c r="E44" s="1">
        <v>490.75</v>
      </c>
      <c r="F44" s="1">
        <v>491</v>
      </c>
      <c r="G44" s="1">
        <v>491.25</v>
      </c>
      <c r="H44" s="1">
        <v>478.2</v>
      </c>
      <c r="I44" s="1">
        <v>478.3</v>
      </c>
      <c r="J44" s="1">
        <v>478.4</v>
      </c>
    </row>
    <row r="45" spans="1:10" ht="20" customHeight="1" x14ac:dyDescent="0.3">
      <c r="A45" s="1">
        <v>43</v>
      </c>
      <c r="E45" s="1">
        <v>491.25</v>
      </c>
      <c r="F45" s="1">
        <v>491.5</v>
      </c>
      <c r="G45" s="1">
        <v>491.75</v>
      </c>
      <c r="H45" s="1">
        <v>478.4</v>
      </c>
      <c r="I45" s="1">
        <v>478.5</v>
      </c>
      <c r="J45" s="1">
        <v>478.6</v>
      </c>
    </row>
    <row r="46" spans="1:10" ht="20" customHeight="1" x14ac:dyDescent="0.3">
      <c r="A46" s="1">
        <v>44</v>
      </c>
      <c r="E46" s="1">
        <v>491.75</v>
      </c>
      <c r="F46" s="1">
        <v>492</v>
      </c>
      <c r="G46" s="1">
        <v>492.25</v>
      </c>
      <c r="H46" s="1">
        <v>478.6</v>
      </c>
      <c r="I46" s="1">
        <v>478.7</v>
      </c>
      <c r="J46" s="1">
        <v>478.79999999999899</v>
      </c>
    </row>
    <row r="47" spans="1:10" ht="20" customHeight="1" x14ac:dyDescent="0.3">
      <c r="A47" s="1">
        <v>45</v>
      </c>
      <c r="E47" s="1">
        <v>492.25</v>
      </c>
      <c r="F47" s="1">
        <v>492.5</v>
      </c>
      <c r="G47" s="1">
        <v>492.75</v>
      </c>
      <c r="H47" s="1">
        <v>478.79999999999899</v>
      </c>
      <c r="I47" s="1">
        <v>478.9</v>
      </c>
      <c r="J47" s="1">
        <v>478.99999999999898</v>
      </c>
    </row>
    <row r="48" spans="1:10" ht="20" customHeight="1" x14ac:dyDescent="0.3">
      <c r="A48" s="1">
        <v>46</v>
      </c>
      <c r="E48" s="1">
        <v>492.75</v>
      </c>
      <c r="F48" s="1">
        <v>493</v>
      </c>
      <c r="G48" s="1">
        <v>493.25</v>
      </c>
      <c r="H48" s="1">
        <v>478.99999999999898</v>
      </c>
      <c r="I48" s="1">
        <v>479.1</v>
      </c>
      <c r="J48" s="1">
        <v>479.19999999999902</v>
      </c>
    </row>
    <row r="49" spans="1:10" ht="20" customHeight="1" x14ac:dyDescent="0.3">
      <c r="A49" s="1">
        <v>47</v>
      </c>
      <c r="E49" s="1">
        <v>493.25</v>
      </c>
      <c r="F49" s="1">
        <v>493.5</v>
      </c>
      <c r="G49" s="1">
        <v>493.75</v>
      </c>
      <c r="H49" s="1">
        <v>479.19999999999902</v>
      </c>
      <c r="I49" s="1">
        <v>479.29999999999899</v>
      </c>
      <c r="J49" s="1">
        <v>479.39999999999901</v>
      </c>
    </row>
    <row r="50" spans="1:10" ht="20" customHeight="1" x14ac:dyDescent="0.3">
      <c r="A50" s="1">
        <v>48</v>
      </c>
      <c r="E50" s="1">
        <v>493.75</v>
      </c>
      <c r="F50" s="1">
        <v>494</v>
      </c>
      <c r="G50" s="1">
        <v>494.25</v>
      </c>
      <c r="H50" s="1">
        <v>479.39999999999901</v>
      </c>
      <c r="I50" s="1">
        <v>479.49999999999898</v>
      </c>
      <c r="J50" s="1">
        <v>479.599999999999</v>
      </c>
    </row>
    <row r="51" spans="1:10" ht="20" customHeight="1" x14ac:dyDescent="0.3">
      <c r="A51" s="1">
        <v>49</v>
      </c>
      <c r="E51" s="1">
        <v>494.25</v>
      </c>
      <c r="F51" s="1">
        <v>494.5</v>
      </c>
      <c r="G51" s="1">
        <v>494.75</v>
      </c>
      <c r="H51" s="1">
        <v>479.599999999999</v>
      </c>
      <c r="I51" s="1">
        <v>479.69999999999902</v>
      </c>
      <c r="J51" s="1">
        <v>479.79999999999899</v>
      </c>
    </row>
    <row r="52" spans="1:10" ht="20" customHeight="1" x14ac:dyDescent="0.3">
      <c r="A52" s="1">
        <v>50</v>
      </c>
      <c r="E52" s="1">
        <v>494.75</v>
      </c>
      <c r="F52" s="1">
        <v>495</v>
      </c>
      <c r="G52" s="1">
        <v>495.25</v>
      </c>
      <c r="H52" s="1">
        <v>479.79999999999899</v>
      </c>
      <c r="I52" s="1">
        <v>479.89999999999901</v>
      </c>
      <c r="J52" s="1">
        <v>479.99999999999898</v>
      </c>
    </row>
    <row r="53" spans="1:10" ht="20" customHeight="1" x14ac:dyDescent="0.3">
      <c r="A53" s="1">
        <v>51</v>
      </c>
      <c r="E53" s="1">
        <v>495.25</v>
      </c>
      <c r="F53" s="1">
        <v>495.5</v>
      </c>
      <c r="G53" s="1">
        <v>495.75</v>
      </c>
      <c r="H53" s="1">
        <v>479.99999999999898</v>
      </c>
      <c r="I53" s="1">
        <v>480.099999999999</v>
      </c>
      <c r="J53" s="1">
        <v>480.19999999999902</v>
      </c>
    </row>
    <row r="54" spans="1:10" ht="20" customHeight="1" x14ac:dyDescent="0.3">
      <c r="A54" s="1">
        <v>52</v>
      </c>
      <c r="E54" s="1">
        <v>495.75</v>
      </c>
      <c r="F54" s="1">
        <v>496</v>
      </c>
      <c r="G54" s="1">
        <v>496.25</v>
      </c>
      <c r="H54" s="1">
        <v>480.19999999999902</v>
      </c>
      <c r="I54" s="1">
        <v>480.29999999999899</v>
      </c>
      <c r="J54" s="1">
        <v>480.39999999999901</v>
      </c>
    </row>
    <row r="55" spans="1:10" ht="20" customHeight="1" x14ac:dyDescent="0.3">
      <c r="A55" s="1">
        <v>53</v>
      </c>
      <c r="E55" s="1">
        <v>496.25</v>
      </c>
      <c r="F55" s="1">
        <v>496.5</v>
      </c>
      <c r="G55" s="1">
        <v>496.75</v>
      </c>
      <c r="H55" s="1">
        <v>480.39999999999901</v>
      </c>
      <c r="I55" s="1">
        <v>480.49999999999898</v>
      </c>
      <c r="J55" s="1">
        <v>480.599999999999</v>
      </c>
    </row>
    <row r="56" spans="1:10" ht="20" customHeight="1" x14ac:dyDescent="0.3">
      <c r="A56" s="1">
        <v>54</v>
      </c>
      <c r="E56" s="1">
        <v>496.75</v>
      </c>
      <c r="F56" s="1">
        <v>497</v>
      </c>
      <c r="G56" s="1">
        <v>497.25</v>
      </c>
      <c r="H56" s="1">
        <v>480.599999999999</v>
      </c>
      <c r="I56" s="1">
        <v>480.69999999999902</v>
      </c>
      <c r="J56" s="1">
        <v>480.79999999999899</v>
      </c>
    </row>
    <row r="57" spans="1:10" ht="20" customHeight="1" x14ac:dyDescent="0.3">
      <c r="A57" s="1">
        <v>55</v>
      </c>
      <c r="E57" s="1">
        <v>497.25</v>
      </c>
      <c r="F57" s="1">
        <v>497.5</v>
      </c>
      <c r="G57" s="1">
        <v>497.75</v>
      </c>
      <c r="H57" s="1">
        <v>480.79999999999899</v>
      </c>
      <c r="I57" s="1">
        <v>480.89999999999901</v>
      </c>
      <c r="J57" s="1">
        <v>480.99999999999898</v>
      </c>
    </row>
    <row r="58" spans="1:10" ht="20" customHeight="1" x14ac:dyDescent="0.3">
      <c r="A58" s="1">
        <v>56</v>
      </c>
      <c r="E58" s="1">
        <v>497.75</v>
      </c>
      <c r="F58" s="1">
        <v>498</v>
      </c>
      <c r="G58" s="1">
        <v>498.25</v>
      </c>
      <c r="H58" s="1">
        <v>480.99999999999898</v>
      </c>
      <c r="I58" s="1">
        <v>481.099999999999</v>
      </c>
      <c r="J58" s="1">
        <v>481.19999999999902</v>
      </c>
    </row>
    <row r="59" spans="1:10" ht="20" customHeight="1" x14ac:dyDescent="0.3">
      <c r="A59" s="1">
        <v>57</v>
      </c>
      <c r="E59" s="1">
        <v>498.25</v>
      </c>
      <c r="F59" s="1">
        <v>498.5</v>
      </c>
      <c r="G59" s="1">
        <v>498.75</v>
      </c>
      <c r="H59" s="1">
        <v>481.19999999999902</v>
      </c>
      <c r="I59" s="1">
        <v>481.29999999999899</v>
      </c>
      <c r="J59" s="1">
        <v>481.39999999999901</v>
      </c>
    </row>
    <row r="60" spans="1:10" ht="20" customHeight="1" x14ac:dyDescent="0.3">
      <c r="A60" s="1">
        <v>58</v>
      </c>
      <c r="E60" s="1">
        <v>498.75</v>
      </c>
      <c r="F60" s="1">
        <v>499</v>
      </c>
      <c r="G60" s="1">
        <v>499.25</v>
      </c>
      <c r="H60" s="1">
        <v>481.39999999999901</v>
      </c>
      <c r="I60" s="1">
        <v>481.49999999999898</v>
      </c>
      <c r="J60" s="1">
        <v>481.599999999999</v>
      </c>
    </row>
    <row r="61" spans="1:10" ht="20" customHeight="1" x14ac:dyDescent="0.3">
      <c r="A61" s="1">
        <v>59</v>
      </c>
      <c r="E61" s="1">
        <v>499.25</v>
      </c>
      <c r="F61" s="1">
        <v>499.5</v>
      </c>
      <c r="G61" s="1">
        <v>499.75</v>
      </c>
      <c r="H61" s="1">
        <v>481.599999999999</v>
      </c>
      <c r="I61" s="1">
        <v>481.69999999999902</v>
      </c>
      <c r="J61" s="1">
        <v>481.79999999999899</v>
      </c>
    </row>
    <row r="62" spans="1:10" ht="20" customHeight="1" x14ac:dyDescent="0.3">
      <c r="A62" s="1">
        <v>60</v>
      </c>
      <c r="E62" s="1">
        <v>499.75</v>
      </c>
      <c r="F62" s="1">
        <v>500</v>
      </c>
      <c r="G62" s="1">
        <v>500.25</v>
      </c>
      <c r="H62" s="1">
        <v>481.79999999999899</v>
      </c>
      <c r="I62" s="1">
        <v>481.89999999999901</v>
      </c>
      <c r="J62" s="1">
        <v>481.99999999999898</v>
      </c>
    </row>
    <row r="63" spans="1:10" ht="20" customHeight="1" x14ac:dyDescent="0.3">
      <c r="A63" s="1">
        <v>61</v>
      </c>
      <c r="E63" s="1">
        <v>500.25</v>
      </c>
      <c r="F63" s="1">
        <v>500.5</v>
      </c>
      <c r="G63" s="1">
        <v>500.75</v>
      </c>
      <c r="H63" s="1">
        <v>481.99999999999898</v>
      </c>
      <c r="I63" s="1">
        <v>482.099999999999</v>
      </c>
      <c r="J63" s="1">
        <v>482.19999999999902</v>
      </c>
    </row>
    <row r="64" spans="1:10" ht="20" customHeight="1" x14ac:dyDescent="0.3">
      <c r="A64" s="1">
        <v>62</v>
      </c>
      <c r="E64" s="1">
        <v>500.75</v>
      </c>
      <c r="F64" s="1">
        <v>501</v>
      </c>
      <c r="G64" s="1">
        <v>501.25</v>
      </c>
      <c r="H64" s="1">
        <v>482.19999999999902</v>
      </c>
      <c r="I64" s="1">
        <v>482.29999999999899</v>
      </c>
      <c r="J64" s="1">
        <v>482.39999999999901</v>
      </c>
    </row>
    <row r="65" spans="1:10" ht="20" customHeight="1" x14ac:dyDescent="0.3">
      <c r="A65" s="1">
        <v>63</v>
      </c>
      <c r="E65" s="1">
        <v>501.25</v>
      </c>
      <c r="F65" s="1">
        <v>501.5</v>
      </c>
      <c r="G65" s="1">
        <v>501.75</v>
      </c>
      <c r="H65" s="1">
        <v>482.39999999999901</v>
      </c>
      <c r="I65" s="1">
        <v>482.49999999999898</v>
      </c>
      <c r="J65" s="1">
        <v>482.599999999999</v>
      </c>
    </row>
    <row r="66" spans="1:10" ht="20" customHeight="1" x14ac:dyDescent="0.3">
      <c r="A66" s="1">
        <v>64</v>
      </c>
      <c r="E66" s="1">
        <v>501.75</v>
      </c>
      <c r="F66" s="1">
        <v>502</v>
      </c>
      <c r="G66" s="1">
        <v>502.25</v>
      </c>
      <c r="H66" s="1">
        <v>482.599999999999</v>
      </c>
      <c r="I66" s="1">
        <v>482.69999999999902</v>
      </c>
      <c r="J66" s="1">
        <v>482.79999999999899</v>
      </c>
    </row>
    <row r="67" spans="1:10" ht="20" customHeight="1" x14ac:dyDescent="0.3">
      <c r="A67" s="1">
        <v>65</v>
      </c>
      <c r="E67" s="1">
        <v>502.25</v>
      </c>
      <c r="F67" s="1">
        <v>502.5</v>
      </c>
      <c r="G67" s="1">
        <v>502.75</v>
      </c>
      <c r="H67" s="1">
        <v>482.79999999999899</v>
      </c>
      <c r="I67" s="1">
        <v>482.89999999999901</v>
      </c>
      <c r="J67" s="1">
        <v>482.99999999999898</v>
      </c>
    </row>
    <row r="68" spans="1:10" ht="20" customHeight="1" x14ac:dyDescent="0.3">
      <c r="A68" s="1">
        <v>66</v>
      </c>
      <c r="E68" s="1">
        <v>502.75</v>
      </c>
      <c r="F68" s="1">
        <v>503</v>
      </c>
      <c r="G68" s="1">
        <v>503.25</v>
      </c>
      <c r="H68" s="1">
        <v>482.99999999999898</v>
      </c>
      <c r="I68" s="1">
        <v>483.099999999999</v>
      </c>
      <c r="J68" s="1">
        <v>483.19999999999902</v>
      </c>
    </row>
    <row r="69" spans="1:10" ht="20" customHeight="1" x14ac:dyDescent="0.3">
      <c r="A69" s="1">
        <v>67</v>
      </c>
      <c r="E69" s="1">
        <v>503.25</v>
      </c>
      <c r="F69" s="1">
        <v>503.5</v>
      </c>
      <c r="G69" s="1">
        <v>503.75</v>
      </c>
      <c r="H69" s="1">
        <v>483.19999999999902</v>
      </c>
      <c r="I69" s="1">
        <v>483.29999999999899</v>
      </c>
      <c r="J69" s="1">
        <v>483.39999999999901</v>
      </c>
    </row>
    <row r="70" spans="1:10" ht="20" customHeight="1" x14ac:dyDescent="0.3">
      <c r="A70" s="1">
        <v>68</v>
      </c>
      <c r="E70" s="1">
        <v>503.75</v>
      </c>
      <c r="F70" s="1">
        <v>504</v>
      </c>
      <c r="G70" s="1">
        <v>504.25</v>
      </c>
      <c r="H70" s="1">
        <v>483.39999999999901</v>
      </c>
      <c r="I70" s="1">
        <v>483.49999999999898</v>
      </c>
      <c r="J70" s="1">
        <v>483.599999999999</v>
      </c>
    </row>
    <row r="71" spans="1:10" ht="20" customHeight="1" x14ac:dyDescent="0.3">
      <c r="A71" s="1">
        <v>69</v>
      </c>
      <c r="E71" s="1">
        <v>504.25</v>
      </c>
      <c r="F71" s="1">
        <v>504.5</v>
      </c>
      <c r="G71" s="1">
        <v>504.75</v>
      </c>
      <c r="H71" s="1">
        <v>483.599999999999</v>
      </c>
      <c r="I71" s="1">
        <v>483.69999999999902</v>
      </c>
      <c r="J71" s="1">
        <v>483.79999999999899</v>
      </c>
    </row>
    <row r="72" spans="1:10" ht="20" customHeight="1" x14ac:dyDescent="0.3">
      <c r="A72" s="1">
        <v>70</v>
      </c>
      <c r="E72" s="1">
        <v>504.75</v>
      </c>
      <c r="F72" s="1">
        <v>505</v>
      </c>
      <c r="G72" s="1">
        <v>505.25</v>
      </c>
      <c r="H72" s="1">
        <v>483.79999999999899</v>
      </c>
      <c r="I72" s="1">
        <v>483.89999999999901</v>
      </c>
      <c r="J72" s="1">
        <v>483.99999999999898</v>
      </c>
    </row>
    <row r="73" spans="1:10" ht="20" customHeight="1" x14ac:dyDescent="0.3">
      <c r="A73" s="1">
        <v>71</v>
      </c>
      <c r="E73" s="1">
        <v>505.25</v>
      </c>
      <c r="F73" s="1">
        <v>505.5</v>
      </c>
      <c r="G73" s="1">
        <v>505.75</v>
      </c>
      <c r="H73" s="1">
        <v>483.99999999999898</v>
      </c>
      <c r="I73" s="1">
        <v>484.099999999999</v>
      </c>
      <c r="J73" s="1">
        <v>484.19999999999902</v>
      </c>
    </row>
    <row r="74" spans="1:10" ht="20" customHeight="1" x14ac:dyDescent="0.3">
      <c r="A74" s="1">
        <v>72</v>
      </c>
      <c r="E74" s="1">
        <v>505.75</v>
      </c>
      <c r="F74" s="1">
        <v>506</v>
      </c>
      <c r="G74" s="1">
        <v>506.25</v>
      </c>
      <c r="H74" s="1">
        <v>484.19999999999902</v>
      </c>
      <c r="I74" s="1">
        <v>484.29999999999899</v>
      </c>
      <c r="J74" s="1">
        <v>484.39999999999901</v>
      </c>
    </row>
    <row r="75" spans="1:10" ht="20" customHeight="1" x14ac:dyDescent="0.3">
      <c r="A75" s="1">
        <v>73</v>
      </c>
      <c r="E75" s="1">
        <v>506.25</v>
      </c>
      <c r="F75" s="1">
        <v>506.5</v>
      </c>
      <c r="G75" s="1">
        <v>506.75</v>
      </c>
      <c r="H75" s="1">
        <v>484.39999999999901</v>
      </c>
      <c r="I75" s="1">
        <v>484.49999999999898</v>
      </c>
      <c r="J75" s="1">
        <v>484.599999999999</v>
      </c>
    </row>
    <row r="76" spans="1:10" ht="20" customHeight="1" x14ac:dyDescent="0.3">
      <c r="A76" s="1">
        <v>74</v>
      </c>
      <c r="E76" s="1">
        <v>506.75</v>
      </c>
      <c r="F76" s="1">
        <v>507</v>
      </c>
      <c r="G76" s="1">
        <v>507.25</v>
      </c>
      <c r="H76" s="1">
        <v>484.599999999999</v>
      </c>
      <c r="I76" s="1">
        <v>484.69999999999902</v>
      </c>
      <c r="J76" s="1">
        <v>484.79999999999899</v>
      </c>
    </row>
    <row r="77" spans="1:10" ht="20" customHeight="1" x14ac:dyDescent="0.3">
      <c r="A77" s="1">
        <v>75</v>
      </c>
      <c r="E77" s="1">
        <v>507.25</v>
      </c>
      <c r="F77" s="1">
        <v>507.5</v>
      </c>
      <c r="G77" s="1">
        <v>507.75</v>
      </c>
      <c r="H77" s="1">
        <v>484.79999999999899</v>
      </c>
      <c r="I77" s="1">
        <v>484.89999999999901</v>
      </c>
      <c r="J77" s="1">
        <v>484.99999999999898</v>
      </c>
    </row>
    <row r="78" spans="1:10" ht="20" customHeight="1" x14ac:dyDescent="0.3">
      <c r="A78" s="1">
        <v>76</v>
      </c>
      <c r="E78" s="1">
        <v>507.75</v>
      </c>
      <c r="F78" s="1">
        <v>508</v>
      </c>
      <c r="G78" s="1">
        <v>508.25</v>
      </c>
      <c r="H78" s="1">
        <v>484.99999999999898</v>
      </c>
      <c r="I78" s="1">
        <v>485.099999999999</v>
      </c>
      <c r="J78" s="1">
        <v>485.19999999999902</v>
      </c>
    </row>
    <row r="79" spans="1:10" ht="20" customHeight="1" x14ac:dyDescent="0.3">
      <c r="A79" s="1">
        <v>77</v>
      </c>
      <c r="E79" s="1">
        <v>508.25</v>
      </c>
      <c r="F79" s="1">
        <v>508.5</v>
      </c>
      <c r="G79" s="1">
        <v>508.75</v>
      </c>
      <c r="H79" s="1">
        <v>485.19999999999902</v>
      </c>
      <c r="I79" s="1">
        <v>485.29999999999899</v>
      </c>
      <c r="J79" s="1">
        <v>485.39999999999901</v>
      </c>
    </row>
    <row r="80" spans="1:10" ht="20" customHeight="1" x14ac:dyDescent="0.3">
      <c r="A80" s="1">
        <v>78</v>
      </c>
      <c r="E80" s="1">
        <v>508.75</v>
      </c>
      <c r="F80" s="1">
        <v>509</v>
      </c>
      <c r="G80" s="1">
        <v>509.25</v>
      </c>
      <c r="H80" s="1">
        <v>485.39999999999901</v>
      </c>
      <c r="I80" s="1">
        <v>485.49999999999898</v>
      </c>
      <c r="J80" s="1">
        <v>485.599999999999</v>
      </c>
    </row>
    <row r="81" spans="1:10" ht="20" customHeight="1" x14ac:dyDescent="0.3">
      <c r="A81" s="16">
        <v>79</v>
      </c>
      <c r="E81" s="16">
        <v>509.25</v>
      </c>
      <c r="F81" s="16">
        <v>509.5</v>
      </c>
      <c r="G81" s="16">
        <v>509.75</v>
      </c>
      <c r="H81" s="1">
        <v>485.599999999999</v>
      </c>
      <c r="I81" s="1">
        <v>485.69999999999902</v>
      </c>
      <c r="J81" s="1">
        <v>485.79999999999899</v>
      </c>
    </row>
    <row r="82" spans="1:10" ht="20" customHeight="1" x14ac:dyDescent="0.3">
      <c r="A82" s="1">
        <v>80</v>
      </c>
      <c r="H82" s="1">
        <v>485.79999999999899</v>
      </c>
      <c r="I82" s="1">
        <v>485.89999999999901</v>
      </c>
      <c r="J82" s="1">
        <v>485.99999999999898</v>
      </c>
    </row>
    <row r="83" spans="1:10" ht="20" customHeight="1" x14ac:dyDescent="0.3">
      <c r="A83" s="1">
        <v>81</v>
      </c>
      <c r="H83" s="1">
        <v>485.99999999999898</v>
      </c>
      <c r="I83" s="1">
        <v>486.099999999999</v>
      </c>
      <c r="J83" s="1">
        <v>486.19999999999902</v>
      </c>
    </row>
    <row r="84" spans="1:10" ht="20" customHeight="1" x14ac:dyDescent="0.3">
      <c r="A84" s="1">
        <v>82</v>
      </c>
      <c r="H84" s="1">
        <v>486.19999999999902</v>
      </c>
      <c r="I84" s="1">
        <v>486.29999999999899</v>
      </c>
      <c r="J84" s="1">
        <v>486.39999999999901</v>
      </c>
    </row>
    <row r="85" spans="1:10" ht="20" customHeight="1" x14ac:dyDescent="0.3">
      <c r="A85" s="1">
        <v>83</v>
      </c>
      <c r="H85" s="1">
        <v>486.39999999999901</v>
      </c>
      <c r="I85" s="1">
        <v>486.49999999999898</v>
      </c>
      <c r="J85" s="1">
        <v>486.599999999999</v>
      </c>
    </row>
    <row r="86" spans="1:10" ht="20" customHeight="1" x14ac:dyDescent="0.3">
      <c r="A86" s="1">
        <v>84</v>
      </c>
      <c r="H86" s="1">
        <v>486.599999999999</v>
      </c>
      <c r="I86" s="1">
        <v>486.69999999999902</v>
      </c>
      <c r="J86" s="1">
        <v>486.79999999999899</v>
      </c>
    </row>
    <row r="87" spans="1:10" ht="20" customHeight="1" x14ac:dyDescent="0.3">
      <c r="A87" s="1">
        <v>85</v>
      </c>
      <c r="H87" s="1">
        <v>486.79999999999899</v>
      </c>
      <c r="I87" s="1">
        <v>486.89999999999901</v>
      </c>
      <c r="J87" s="1">
        <v>486.99999999999898</v>
      </c>
    </row>
    <row r="88" spans="1:10" ht="20" customHeight="1" x14ac:dyDescent="0.3">
      <c r="A88" s="1">
        <v>86</v>
      </c>
      <c r="H88" s="1">
        <v>486.99999999999898</v>
      </c>
      <c r="I88" s="1">
        <v>487.099999999999</v>
      </c>
      <c r="J88" s="1">
        <v>487.19999999999902</v>
      </c>
    </row>
    <row r="89" spans="1:10" ht="20" customHeight="1" x14ac:dyDescent="0.3">
      <c r="A89" s="1">
        <v>87</v>
      </c>
      <c r="H89" s="1">
        <v>487.19999999999902</v>
      </c>
      <c r="I89" s="1">
        <v>487.29999999999899</v>
      </c>
      <c r="J89" s="1">
        <v>487.39999999999901</v>
      </c>
    </row>
    <row r="90" spans="1:10" ht="20" customHeight="1" x14ac:dyDescent="0.3">
      <c r="A90" s="1">
        <v>88</v>
      </c>
      <c r="H90" s="1">
        <v>487.39999999999901</v>
      </c>
      <c r="I90" s="1">
        <v>487.49999999999898</v>
      </c>
      <c r="J90" s="1">
        <v>487.599999999999</v>
      </c>
    </row>
    <row r="91" spans="1:10" ht="20" customHeight="1" x14ac:dyDescent="0.3">
      <c r="A91" s="1">
        <v>89</v>
      </c>
      <c r="H91" s="1">
        <v>487.599999999999</v>
      </c>
      <c r="I91" s="1">
        <v>487.69999999999902</v>
      </c>
      <c r="J91" s="1">
        <v>487.79999999999899</v>
      </c>
    </row>
    <row r="92" spans="1:10" ht="20" customHeight="1" x14ac:dyDescent="0.3">
      <c r="A92" s="1">
        <v>90</v>
      </c>
      <c r="H92" s="1">
        <v>487.79999999999899</v>
      </c>
      <c r="I92" s="1">
        <v>487.89999999999901</v>
      </c>
      <c r="J92" s="1">
        <v>487.99999999999898</v>
      </c>
    </row>
    <row r="93" spans="1:10" ht="20" customHeight="1" x14ac:dyDescent="0.3">
      <c r="A93" s="1">
        <v>91</v>
      </c>
      <c r="H93" s="1">
        <v>487.99999999999898</v>
      </c>
      <c r="I93" s="1">
        <v>488.099999999999</v>
      </c>
      <c r="J93" s="1">
        <v>488.19999999999902</v>
      </c>
    </row>
    <row r="94" spans="1:10" ht="20" customHeight="1" x14ac:dyDescent="0.3">
      <c r="A94" s="1">
        <v>92</v>
      </c>
      <c r="H94" s="1">
        <v>488.19999999999902</v>
      </c>
      <c r="I94" s="1">
        <v>488.29999999999899</v>
      </c>
      <c r="J94" s="1">
        <v>488.39999999999901</v>
      </c>
    </row>
    <row r="95" spans="1:10" ht="20" customHeight="1" x14ac:dyDescent="0.3">
      <c r="A95" s="1">
        <v>93</v>
      </c>
      <c r="H95" s="1">
        <v>488.39999999999901</v>
      </c>
      <c r="I95" s="1">
        <v>488.49999999999898</v>
      </c>
      <c r="J95" s="1">
        <v>488.599999999999</v>
      </c>
    </row>
    <row r="96" spans="1:10" ht="20" customHeight="1" x14ac:dyDescent="0.3">
      <c r="A96" s="1">
        <v>94</v>
      </c>
      <c r="H96" s="1">
        <v>488.599999999999</v>
      </c>
      <c r="I96" s="1">
        <v>488.69999999999902</v>
      </c>
      <c r="J96" s="1">
        <v>488.79999999999899</v>
      </c>
    </row>
    <row r="97" spans="1:10" ht="20" customHeight="1" x14ac:dyDescent="0.3">
      <c r="A97" s="1">
        <v>95</v>
      </c>
      <c r="H97" s="1">
        <v>488.79999999999899</v>
      </c>
      <c r="I97" s="1">
        <v>488.89999999999901</v>
      </c>
      <c r="J97" s="1">
        <v>488.99999999999898</v>
      </c>
    </row>
    <row r="98" spans="1:10" ht="20" customHeight="1" x14ac:dyDescent="0.3">
      <c r="A98" s="1">
        <v>96</v>
      </c>
      <c r="H98" s="1">
        <v>488.99999999999898</v>
      </c>
      <c r="I98" s="1">
        <v>489.099999999999</v>
      </c>
      <c r="J98" s="1">
        <v>489.19999999999902</v>
      </c>
    </row>
    <row r="99" spans="1:10" ht="20" customHeight="1" x14ac:dyDescent="0.3">
      <c r="A99" s="1">
        <v>97</v>
      </c>
      <c r="H99" s="1">
        <v>489.19999999999902</v>
      </c>
      <c r="I99" s="1">
        <v>489.29999999999899</v>
      </c>
      <c r="J99" s="1">
        <v>489.39999999999901</v>
      </c>
    </row>
    <row r="100" spans="1:10" ht="20" customHeight="1" x14ac:dyDescent="0.3">
      <c r="A100" s="1">
        <v>98</v>
      </c>
      <c r="H100" s="1">
        <v>489.39999999999901</v>
      </c>
      <c r="I100" s="1">
        <v>489.49999999999898</v>
      </c>
      <c r="J100" s="1">
        <v>489.599999999999</v>
      </c>
    </row>
    <row r="101" spans="1:10" ht="20" customHeight="1" x14ac:dyDescent="0.3">
      <c r="A101" s="1">
        <v>99</v>
      </c>
      <c r="H101" s="1">
        <v>489.599999999999</v>
      </c>
      <c r="I101" s="1">
        <v>489.69999999999902</v>
      </c>
      <c r="J101" s="1">
        <v>489.79999999999899</v>
      </c>
    </row>
    <row r="102" spans="1:10" ht="20" customHeight="1" x14ac:dyDescent="0.3">
      <c r="A102" s="1">
        <v>100</v>
      </c>
      <c r="H102" s="1">
        <v>489.79999999999899</v>
      </c>
      <c r="I102" s="1">
        <v>489.89999999999901</v>
      </c>
      <c r="J102" s="1">
        <v>489.99999999999898</v>
      </c>
    </row>
    <row r="103" spans="1:10" ht="20" customHeight="1" x14ac:dyDescent="0.3">
      <c r="A103" s="1">
        <v>101</v>
      </c>
      <c r="H103" s="1">
        <v>489.99999999999898</v>
      </c>
      <c r="I103" s="1">
        <v>490.099999999999</v>
      </c>
      <c r="J103" s="1">
        <v>490.19999999999902</v>
      </c>
    </row>
    <row r="104" spans="1:10" ht="20" customHeight="1" x14ac:dyDescent="0.3">
      <c r="A104" s="1">
        <v>102</v>
      </c>
      <c r="H104" s="1">
        <v>490.19999999999902</v>
      </c>
      <c r="I104" s="1">
        <v>490.29999999999899</v>
      </c>
      <c r="J104" s="1">
        <v>490.39999999999901</v>
      </c>
    </row>
    <row r="105" spans="1:10" ht="20" customHeight="1" x14ac:dyDescent="0.3">
      <c r="A105" s="1">
        <v>103</v>
      </c>
      <c r="H105" s="1">
        <v>490.39999999999901</v>
      </c>
      <c r="I105" s="1">
        <v>490.49999999999898</v>
      </c>
      <c r="J105" s="1">
        <v>490.599999999999</v>
      </c>
    </row>
    <row r="106" spans="1:10" ht="20" customHeight="1" x14ac:dyDescent="0.3">
      <c r="A106" s="1">
        <v>104</v>
      </c>
      <c r="H106" s="1">
        <v>490.599999999999</v>
      </c>
      <c r="I106" s="1">
        <v>490.69999999999902</v>
      </c>
      <c r="J106" s="1">
        <v>490.79999999999899</v>
      </c>
    </row>
    <row r="107" spans="1:10" ht="20" customHeight="1" x14ac:dyDescent="0.3">
      <c r="A107" s="1">
        <v>105</v>
      </c>
      <c r="H107" s="1">
        <v>490.79999999999899</v>
      </c>
      <c r="I107" s="1">
        <v>490.89999999999901</v>
      </c>
      <c r="J107" s="1">
        <v>490.99999999999898</v>
      </c>
    </row>
    <row r="108" spans="1:10" ht="20" customHeight="1" x14ac:dyDescent="0.3">
      <c r="A108" s="1">
        <v>106</v>
      </c>
      <c r="H108" s="1">
        <v>490.99999999999898</v>
      </c>
      <c r="I108" s="1">
        <v>491.099999999999</v>
      </c>
      <c r="J108" s="1">
        <v>491.19999999999902</v>
      </c>
    </row>
    <row r="109" spans="1:10" ht="20" customHeight="1" x14ac:dyDescent="0.3">
      <c r="A109" s="1">
        <v>107</v>
      </c>
      <c r="H109" s="1">
        <v>491.19999999999902</v>
      </c>
      <c r="I109" s="1">
        <v>491.29999999999899</v>
      </c>
      <c r="J109" s="1">
        <v>491.39999999999901</v>
      </c>
    </row>
    <row r="110" spans="1:10" ht="20" customHeight="1" x14ac:dyDescent="0.3">
      <c r="A110" s="1">
        <v>108</v>
      </c>
      <c r="H110" s="1">
        <v>491.39999999999901</v>
      </c>
      <c r="I110" s="1">
        <v>491.49999999999898</v>
      </c>
      <c r="J110" s="1">
        <v>491.599999999999</v>
      </c>
    </row>
    <row r="111" spans="1:10" ht="20" customHeight="1" x14ac:dyDescent="0.3">
      <c r="A111" s="1">
        <v>109</v>
      </c>
      <c r="H111" s="1">
        <v>491.599999999999</v>
      </c>
      <c r="I111" s="1">
        <v>491.69999999999902</v>
      </c>
      <c r="J111" s="1">
        <v>491.79999999999899</v>
      </c>
    </row>
    <row r="112" spans="1:10" ht="20" customHeight="1" x14ac:dyDescent="0.3">
      <c r="A112" s="1">
        <v>110</v>
      </c>
      <c r="H112" s="1">
        <v>491.79999999999899</v>
      </c>
      <c r="I112" s="1">
        <v>491.89999999999901</v>
      </c>
      <c r="J112" s="1">
        <v>491.99999999999898</v>
      </c>
    </row>
    <row r="113" spans="1:10" ht="20" customHeight="1" x14ac:dyDescent="0.3">
      <c r="A113" s="1">
        <v>111</v>
      </c>
      <c r="H113" s="1">
        <v>491.99999999999898</v>
      </c>
      <c r="I113" s="1">
        <v>492.099999999999</v>
      </c>
      <c r="J113" s="1">
        <v>492.19999999999902</v>
      </c>
    </row>
    <row r="114" spans="1:10" ht="20" customHeight="1" x14ac:dyDescent="0.3">
      <c r="A114" s="1">
        <v>112</v>
      </c>
      <c r="H114" s="1">
        <v>492.19999999999902</v>
      </c>
      <c r="I114" s="1">
        <v>492.29999999999899</v>
      </c>
      <c r="J114" s="1">
        <v>492.39999999999901</v>
      </c>
    </row>
    <row r="115" spans="1:10" ht="20" customHeight="1" x14ac:dyDescent="0.3">
      <c r="A115" s="1">
        <v>113</v>
      </c>
      <c r="H115" s="1">
        <v>492.39999999999901</v>
      </c>
      <c r="I115" s="1">
        <v>492.49999999999898</v>
      </c>
      <c r="J115" s="1">
        <v>492.599999999999</v>
      </c>
    </row>
    <row r="116" spans="1:10" ht="20" customHeight="1" x14ac:dyDescent="0.3">
      <c r="A116" s="1">
        <v>114</v>
      </c>
      <c r="H116" s="1">
        <v>492.599999999999</v>
      </c>
      <c r="I116" s="1">
        <v>492.69999999999902</v>
      </c>
      <c r="J116" s="1">
        <v>492.79999999999899</v>
      </c>
    </row>
    <row r="117" spans="1:10" ht="20" customHeight="1" x14ac:dyDescent="0.3">
      <c r="A117" s="1">
        <v>115</v>
      </c>
      <c r="H117" s="1">
        <v>492.79999999999899</v>
      </c>
      <c r="I117" s="1">
        <v>492.89999999999901</v>
      </c>
      <c r="J117" s="1">
        <v>492.99999999999898</v>
      </c>
    </row>
    <row r="118" spans="1:10" ht="20" customHeight="1" x14ac:dyDescent="0.3">
      <c r="A118" s="1">
        <v>116</v>
      </c>
      <c r="H118" s="1">
        <v>492.99999999999898</v>
      </c>
      <c r="I118" s="1">
        <v>493.099999999999</v>
      </c>
      <c r="J118" s="1">
        <v>493.19999999999902</v>
      </c>
    </row>
    <row r="119" spans="1:10" ht="20" customHeight="1" x14ac:dyDescent="0.3">
      <c r="A119" s="1">
        <v>117</v>
      </c>
      <c r="H119" s="1">
        <v>493.19999999999902</v>
      </c>
      <c r="I119" s="1">
        <v>493.29999999999899</v>
      </c>
      <c r="J119" s="1">
        <v>493.39999999999901</v>
      </c>
    </row>
    <row r="120" spans="1:10" ht="20" customHeight="1" x14ac:dyDescent="0.3">
      <c r="A120" s="1">
        <v>118</v>
      </c>
      <c r="H120" s="1">
        <v>493.39999999999901</v>
      </c>
      <c r="I120" s="1">
        <v>493.49999999999898</v>
      </c>
      <c r="J120" s="1">
        <v>493.599999999999</v>
      </c>
    </row>
    <row r="121" spans="1:10" ht="20" customHeight="1" x14ac:dyDescent="0.3">
      <c r="A121" s="1">
        <v>119</v>
      </c>
      <c r="H121" s="1">
        <v>493.599999999999</v>
      </c>
      <c r="I121" s="1">
        <v>493.69999999999902</v>
      </c>
      <c r="J121" s="1">
        <v>493.79999999999899</v>
      </c>
    </row>
    <row r="122" spans="1:10" ht="20" customHeight="1" x14ac:dyDescent="0.3">
      <c r="A122" s="1">
        <v>120</v>
      </c>
      <c r="H122" s="1">
        <v>493.79999999999899</v>
      </c>
      <c r="I122" s="1">
        <v>493.89999999999901</v>
      </c>
      <c r="J122" s="1">
        <v>493.99999999999898</v>
      </c>
    </row>
    <row r="123" spans="1:10" ht="20" customHeight="1" x14ac:dyDescent="0.3">
      <c r="A123" s="1">
        <v>121</v>
      </c>
      <c r="H123" s="1">
        <v>493.99999999999898</v>
      </c>
      <c r="I123" s="1">
        <v>494.099999999999</v>
      </c>
      <c r="J123" s="1">
        <v>494.19999999999902</v>
      </c>
    </row>
    <row r="124" spans="1:10" ht="20" customHeight="1" x14ac:dyDescent="0.3">
      <c r="A124" s="1">
        <v>122</v>
      </c>
      <c r="H124" s="1">
        <v>494.19999999999902</v>
      </c>
      <c r="I124" s="1">
        <v>494.29999999999899</v>
      </c>
      <c r="J124" s="1">
        <v>494.39999999999901</v>
      </c>
    </row>
    <row r="125" spans="1:10" ht="20" customHeight="1" x14ac:dyDescent="0.3">
      <c r="A125" s="1">
        <v>123</v>
      </c>
      <c r="H125" s="1">
        <v>494.39999999999901</v>
      </c>
      <c r="I125" s="1">
        <v>494.49999999999898</v>
      </c>
      <c r="J125" s="1">
        <v>494.599999999999</v>
      </c>
    </row>
    <row r="126" spans="1:10" ht="20" customHeight="1" x14ac:dyDescent="0.3">
      <c r="A126" s="1">
        <v>124</v>
      </c>
      <c r="H126" s="1">
        <v>494.599999999999</v>
      </c>
      <c r="I126" s="1">
        <v>494.69999999999902</v>
      </c>
      <c r="J126" s="1">
        <v>494.79999999999899</v>
      </c>
    </row>
    <row r="127" spans="1:10" ht="20" customHeight="1" x14ac:dyDescent="0.3">
      <c r="A127" s="1">
        <v>125</v>
      </c>
      <c r="H127" s="1">
        <v>494.79999999999899</v>
      </c>
      <c r="I127" s="1">
        <v>494.89999999999901</v>
      </c>
      <c r="J127" s="1">
        <v>494.99999999999898</v>
      </c>
    </row>
    <row r="128" spans="1:10" ht="20" customHeight="1" x14ac:dyDescent="0.3">
      <c r="A128" s="1">
        <v>126</v>
      </c>
      <c r="H128" s="1">
        <v>494.99999999999898</v>
      </c>
      <c r="I128" s="1">
        <v>495.099999999999</v>
      </c>
      <c r="J128" s="1">
        <v>495.19999999999902</v>
      </c>
    </row>
    <row r="129" spans="1:10" ht="20" customHeight="1" x14ac:dyDescent="0.3">
      <c r="A129" s="1">
        <v>127</v>
      </c>
      <c r="H129" s="1">
        <v>495.19999999999902</v>
      </c>
      <c r="I129" s="1">
        <v>495.29999999999899</v>
      </c>
      <c r="J129" s="1">
        <v>495.39999999999901</v>
      </c>
    </row>
    <row r="130" spans="1:10" ht="20" customHeight="1" x14ac:dyDescent="0.3">
      <c r="A130" s="1">
        <v>128</v>
      </c>
      <c r="H130" s="1">
        <v>495.39999999999901</v>
      </c>
      <c r="I130" s="1">
        <v>495.49999999999898</v>
      </c>
      <c r="J130" s="1">
        <v>495.599999999999</v>
      </c>
    </row>
    <row r="131" spans="1:10" ht="20" customHeight="1" x14ac:dyDescent="0.3">
      <c r="A131" s="1">
        <v>129</v>
      </c>
      <c r="H131" s="1">
        <v>495.59999999999798</v>
      </c>
      <c r="I131" s="1">
        <v>495.69999999999902</v>
      </c>
      <c r="J131" s="1">
        <v>495.79999999999802</v>
      </c>
    </row>
    <row r="132" spans="1:10" ht="20" customHeight="1" x14ac:dyDescent="0.3">
      <c r="A132" s="1">
        <v>130</v>
      </c>
      <c r="H132" s="1">
        <v>495.79999999999802</v>
      </c>
      <c r="I132" s="1">
        <v>495.89999999999799</v>
      </c>
      <c r="J132" s="1">
        <v>495.99999999999801</v>
      </c>
    </row>
    <row r="133" spans="1:10" ht="20" customHeight="1" x14ac:dyDescent="0.3">
      <c r="A133" s="1">
        <v>131</v>
      </c>
      <c r="H133" s="1">
        <v>495.99999999999898</v>
      </c>
      <c r="I133" s="1">
        <v>496.099999999999</v>
      </c>
      <c r="J133" s="1">
        <v>496.19999999999902</v>
      </c>
    </row>
    <row r="134" spans="1:10" ht="20" customHeight="1" x14ac:dyDescent="0.3">
      <c r="A134" s="1">
        <v>132</v>
      </c>
      <c r="H134" s="1">
        <v>496.19999999999902</v>
      </c>
      <c r="I134" s="1">
        <v>496.29999999999899</v>
      </c>
      <c r="J134" s="1">
        <v>496.39999999999799</v>
      </c>
    </row>
    <row r="135" spans="1:10" ht="20" customHeight="1" x14ac:dyDescent="0.3">
      <c r="A135" s="1">
        <v>133</v>
      </c>
      <c r="H135" s="1">
        <v>496.39999999999799</v>
      </c>
      <c r="I135" s="1">
        <v>496.49999999999898</v>
      </c>
      <c r="J135" s="1">
        <v>496.59999999999798</v>
      </c>
    </row>
    <row r="136" spans="1:10" ht="20" customHeight="1" x14ac:dyDescent="0.3">
      <c r="A136" s="1">
        <v>134</v>
      </c>
      <c r="H136" s="1">
        <v>496.59999999999798</v>
      </c>
      <c r="I136" s="1">
        <v>496.69999999999902</v>
      </c>
      <c r="J136" s="1">
        <v>496.79999999999802</v>
      </c>
    </row>
    <row r="137" spans="1:10" ht="20" customHeight="1" x14ac:dyDescent="0.3">
      <c r="A137" s="1">
        <v>135</v>
      </c>
      <c r="H137" s="1">
        <v>496.79999999999802</v>
      </c>
      <c r="I137" s="1">
        <v>496.89999999999799</v>
      </c>
      <c r="J137" s="1">
        <v>496.99999999999801</v>
      </c>
    </row>
    <row r="138" spans="1:10" ht="20" customHeight="1" x14ac:dyDescent="0.3">
      <c r="A138" s="1">
        <v>136</v>
      </c>
      <c r="H138" s="1">
        <v>496.99999999999898</v>
      </c>
      <c r="I138" s="1">
        <v>497.099999999999</v>
      </c>
      <c r="J138" s="1">
        <v>497.19999999999902</v>
      </c>
    </row>
    <row r="139" spans="1:10" ht="20" customHeight="1" x14ac:dyDescent="0.3">
      <c r="A139" s="1">
        <v>137</v>
      </c>
      <c r="H139" s="1">
        <v>497.19999999999902</v>
      </c>
      <c r="I139" s="1">
        <v>497.29999999999899</v>
      </c>
      <c r="J139" s="1">
        <v>497.39999999999799</v>
      </c>
    </row>
    <row r="140" spans="1:10" ht="20" customHeight="1" x14ac:dyDescent="0.3">
      <c r="A140" s="1">
        <v>138</v>
      </c>
      <c r="H140" s="1">
        <v>497.39999999999799</v>
      </c>
      <c r="I140" s="1">
        <v>497.49999999999801</v>
      </c>
      <c r="J140" s="1">
        <v>497.59999999999798</v>
      </c>
    </row>
    <row r="141" spans="1:10" ht="20" customHeight="1" x14ac:dyDescent="0.3">
      <c r="A141" s="1">
        <v>139</v>
      </c>
      <c r="H141" s="1">
        <v>497.59999999999798</v>
      </c>
      <c r="I141" s="1">
        <v>497.699999999998</v>
      </c>
      <c r="J141" s="1">
        <v>497.79999999999802</v>
      </c>
    </row>
    <row r="142" spans="1:10" ht="20" customHeight="1" x14ac:dyDescent="0.3">
      <c r="A142" s="1">
        <v>140</v>
      </c>
      <c r="H142" s="1">
        <v>497.79999999999802</v>
      </c>
      <c r="I142" s="1">
        <v>497.89999999999799</v>
      </c>
      <c r="J142" s="1">
        <v>497.99999999999801</v>
      </c>
    </row>
    <row r="143" spans="1:10" ht="20" customHeight="1" x14ac:dyDescent="0.3">
      <c r="A143" s="1">
        <v>141</v>
      </c>
      <c r="H143" s="1">
        <v>497.99999999999801</v>
      </c>
      <c r="I143" s="1">
        <v>498.09999999999798</v>
      </c>
      <c r="J143" s="1">
        <v>498.199999999998</v>
      </c>
    </row>
    <row r="144" spans="1:10" ht="20" customHeight="1" x14ac:dyDescent="0.3">
      <c r="A144" s="1">
        <v>142</v>
      </c>
      <c r="H144" s="1">
        <v>498.199999999998</v>
      </c>
      <c r="I144" s="1">
        <v>498.29999999999802</v>
      </c>
      <c r="J144" s="1">
        <v>498.39999999999799</v>
      </c>
    </row>
    <row r="145" spans="1:10" ht="20" customHeight="1" x14ac:dyDescent="0.3">
      <c r="A145" s="1">
        <v>143</v>
      </c>
      <c r="H145" s="1">
        <v>498.39999999999799</v>
      </c>
      <c r="I145" s="1">
        <v>498.49999999999801</v>
      </c>
      <c r="J145" s="1">
        <v>498.59999999999798</v>
      </c>
    </row>
    <row r="146" spans="1:10" ht="20" customHeight="1" x14ac:dyDescent="0.3">
      <c r="A146" s="1">
        <v>144</v>
      </c>
      <c r="H146" s="1">
        <v>498.59999999999798</v>
      </c>
      <c r="I146" s="1">
        <v>498.699999999998</v>
      </c>
      <c r="J146" s="1">
        <v>498.79999999999802</v>
      </c>
    </row>
    <row r="147" spans="1:10" ht="20" customHeight="1" x14ac:dyDescent="0.3">
      <c r="A147" s="1">
        <v>145</v>
      </c>
      <c r="H147" s="1">
        <v>498.79999999999802</v>
      </c>
      <c r="I147" s="1">
        <v>498.89999999999799</v>
      </c>
      <c r="J147" s="1">
        <v>498.99999999999801</v>
      </c>
    </row>
    <row r="148" spans="1:10" ht="20" customHeight="1" x14ac:dyDescent="0.3">
      <c r="A148" s="1">
        <v>146</v>
      </c>
      <c r="H148" s="1">
        <v>498.99999999999801</v>
      </c>
      <c r="I148" s="1">
        <v>499.09999999999798</v>
      </c>
      <c r="J148" s="1">
        <v>499.199999999998</v>
      </c>
    </row>
    <row r="149" spans="1:10" ht="20" customHeight="1" x14ac:dyDescent="0.3">
      <c r="A149" s="1">
        <v>147</v>
      </c>
      <c r="H149" s="1">
        <v>499.199999999998</v>
      </c>
      <c r="I149" s="1">
        <v>499.29999999999802</v>
      </c>
      <c r="J149" s="1">
        <v>499.39999999999799</v>
      </c>
    </row>
    <row r="150" spans="1:10" ht="20" customHeight="1" x14ac:dyDescent="0.3">
      <c r="A150" s="1">
        <v>148</v>
      </c>
      <c r="H150" s="1">
        <v>499.39999999999799</v>
      </c>
      <c r="I150" s="1">
        <v>499.49999999999801</v>
      </c>
      <c r="J150" s="1">
        <v>499.59999999999798</v>
      </c>
    </row>
    <row r="151" spans="1:10" ht="20" customHeight="1" x14ac:dyDescent="0.3">
      <c r="A151" s="1">
        <v>149</v>
      </c>
      <c r="H151" s="1">
        <v>499.59999999999798</v>
      </c>
      <c r="I151" s="1">
        <v>499.699999999998</v>
      </c>
      <c r="J151" s="1">
        <v>499.79999999999802</v>
      </c>
    </row>
    <row r="152" spans="1:10" ht="20" customHeight="1" x14ac:dyDescent="0.3">
      <c r="A152" s="1">
        <v>150</v>
      </c>
      <c r="H152" s="1">
        <v>499.79999999999802</v>
      </c>
      <c r="I152" s="1">
        <v>499.89999999999799</v>
      </c>
      <c r="J152" s="1">
        <v>499.99999999999801</v>
      </c>
    </row>
    <row r="153" spans="1:10" ht="20" customHeight="1" x14ac:dyDescent="0.3">
      <c r="A153" s="1">
        <v>151</v>
      </c>
      <c r="H153" s="1">
        <v>499.99999999999801</v>
      </c>
      <c r="I153" s="1">
        <v>500.09999999999798</v>
      </c>
      <c r="J153" s="1">
        <v>500.199999999998</v>
      </c>
    </row>
    <row r="154" spans="1:10" ht="20" customHeight="1" x14ac:dyDescent="0.3">
      <c r="A154" s="1">
        <v>152</v>
      </c>
      <c r="H154" s="1">
        <v>500.199999999998</v>
      </c>
      <c r="I154" s="1">
        <v>500.29999999999802</v>
      </c>
      <c r="J154" s="1">
        <v>500.39999999999799</v>
      </c>
    </row>
    <row r="155" spans="1:10" ht="20" customHeight="1" x14ac:dyDescent="0.3">
      <c r="A155" s="1">
        <v>153</v>
      </c>
      <c r="H155" s="1">
        <v>500.39999999999799</v>
      </c>
      <c r="I155" s="1">
        <v>500.49999999999801</v>
      </c>
      <c r="J155" s="1">
        <v>500.59999999999798</v>
      </c>
    </row>
    <row r="156" spans="1:10" ht="20" customHeight="1" x14ac:dyDescent="0.3">
      <c r="A156" s="1">
        <v>154</v>
      </c>
      <c r="H156" s="1">
        <v>500.59999999999798</v>
      </c>
      <c r="I156" s="1">
        <v>500.699999999998</v>
      </c>
      <c r="J156" s="1">
        <v>500.79999999999802</v>
      </c>
    </row>
    <row r="157" spans="1:10" ht="20" customHeight="1" x14ac:dyDescent="0.3">
      <c r="A157" s="1">
        <v>155</v>
      </c>
      <c r="H157" s="1">
        <v>500.79999999999802</v>
      </c>
      <c r="I157" s="1">
        <v>500.89999999999799</v>
      </c>
      <c r="J157" s="1">
        <v>500.99999999999801</v>
      </c>
    </row>
    <row r="158" spans="1:10" ht="20" customHeight="1" x14ac:dyDescent="0.3">
      <c r="A158" s="1">
        <v>156</v>
      </c>
      <c r="H158" s="1">
        <v>500.99999999999801</v>
      </c>
      <c r="I158" s="1">
        <v>501.09999999999798</v>
      </c>
      <c r="J158" s="1">
        <v>501.199999999998</v>
      </c>
    </row>
    <row r="159" spans="1:10" ht="20" customHeight="1" x14ac:dyDescent="0.3">
      <c r="A159" s="1">
        <v>157</v>
      </c>
      <c r="H159" s="1">
        <v>501.199999999998</v>
      </c>
      <c r="I159" s="1">
        <v>501.29999999999802</v>
      </c>
      <c r="J159" s="1">
        <v>501.39999999999799</v>
      </c>
    </row>
    <row r="160" spans="1:10" ht="20" customHeight="1" x14ac:dyDescent="0.3">
      <c r="A160" s="1">
        <v>158</v>
      </c>
      <c r="H160" s="1">
        <v>501.39999999999799</v>
      </c>
      <c r="I160" s="1">
        <v>501.49999999999801</v>
      </c>
      <c r="J160" s="1">
        <v>501.59999999999798</v>
      </c>
    </row>
    <row r="161" spans="1:10" ht="20" customHeight="1" x14ac:dyDescent="0.3">
      <c r="A161" s="1">
        <v>159</v>
      </c>
      <c r="H161" s="1">
        <v>501.59999999999798</v>
      </c>
      <c r="I161" s="1">
        <v>501.699999999998</v>
      </c>
      <c r="J161" s="1">
        <v>501.79999999999802</v>
      </c>
    </row>
    <row r="162" spans="1:10" ht="20" customHeight="1" x14ac:dyDescent="0.3">
      <c r="A162" s="1">
        <v>160</v>
      </c>
      <c r="H162" s="1">
        <v>501.79999999999802</v>
      </c>
      <c r="I162" s="1">
        <v>501.89999999999799</v>
      </c>
      <c r="J162" s="1">
        <v>501.99999999999801</v>
      </c>
    </row>
    <row r="163" spans="1:10" ht="20" customHeight="1" x14ac:dyDescent="0.3">
      <c r="A163" s="1">
        <v>161</v>
      </c>
      <c r="H163" s="1">
        <v>501.99999999999801</v>
      </c>
      <c r="I163" s="1">
        <v>502.09999999999798</v>
      </c>
      <c r="J163" s="1">
        <v>502.199999999998</v>
      </c>
    </row>
    <row r="164" spans="1:10" ht="20" customHeight="1" x14ac:dyDescent="0.3">
      <c r="A164" s="1">
        <v>162</v>
      </c>
      <c r="H164" s="1">
        <v>502.199999999998</v>
      </c>
      <c r="I164" s="1">
        <v>502.29999999999802</v>
      </c>
      <c r="J164" s="1">
        <v>502.39999999999799</v>
      </c>
    </row>
    <row r="165" spans="1:10" ht="20" customHeight="1" x14ac:dyDescent="0.3">
      <c r="A165" s="1">
        <v>163</v>
      </c>
      <c r="H165" s="1">
        <v>502.39999999999799</v>
      </c>
      <c r="I165" s="1">
        <v>502.49999999999801</v>
      </c>
      <c r="J165" s="1">
        <v>502.59999999999798</v>
      </c>
    </row>
    <row r="166" spans="1:10" ht="20" customHeight="1" x14ac:dyDescent="0.3">
      <c r="A166" s="1">
        <v>164</v>
      </c>
      <c r="H166" s="1">
        <v>502.59999999999798</v>
      </c>
      <c r="I166" s="1">
        <v>502.699999999998</v>
      </c>
      <c r="J166" s="1">
        <v>502.79999999999802</v>
      </c>
    </row>
    <row r="167" spans="1:10" ht="20" customHeight="1" x14ac:dyDescent="0.3">
      <c r="A167" s="1">
        <v>165</v>
      </c>
      <c r="H167" s="1">
        <v>502.79999999999802</v>
      </c>
      <c r="I167" s="1">
        <v>502.89999999999799</v>
      </c>
      <c r="J167" s="1">
        <v>502.99999999999801</v>
      </c>
    </row>
    <row r="168" spans="1:10" ht="20" customHeight="1" x14ac:dyDescent="0.3">
      <c r="A168" s="1">
        <v>166</v>
      </c>
      <c r="H168" s="1">
        <v>502.99999999999801</v>
      </c>
      <c r="I168" s="1">
        <v>503.09999999999798</v>
      </c>
      <c r="J168" s="1">
        <v>503.199999999998</v>
      </c>
    </row>
    <row r="169" spans="1:10" ht="20" customHeight="1" x14ac:dyDescent="0.3">
      <c r="A169" s="1">
        <v>167</v>
      </c>
      <c r="H169" s="1">
        <v>503.199999999998</v>
      </c>
      <c r="I169" s="1">
        <v>503.29999999999802</v>
      </c>
      <c r="J169" s="1">
        <v>503.39999999999799</v>
      </c>
    </row>
    <row r="170" spans="1:10" ht="20" customHeight="1" x14ac:dyDescent="0.3">
      <c r="A170" s="1">
        <v>168</v>
      </c>
      <c r="H170" s="1">
        <v>503.39999999999799</v>
      </c>
      <c r="I170" s="1">
        <v>503.49999999999801</v>
      </c>
      <c r="J170" s="1">
        <v>503.59999999999798</v>
      </c>
    </row>
    <row r="171" spans="1:10" ht="20" customHeight="1" x14ac:dyDescent="0.3">
      <c r="A171" s="1">
        <v>169</v>
      </c>
      <c r="H171" s="1">
        <v>503.59999999999798</v>
      </c>
      <c r="I171" s="1">
        <v>503.699999999998</v>
      </c>
      <c r="J171" s="1">
        <v>503.79999999999802</v>
      </c>
    </row>
    <row r="172" spans="1:10" ht="20" customHeight="1" x14ac:dyDescent="0.3">
      <c r="A172" s="1">
        <v>170</v>
      </c>
      <c r="H172" s="1">
        <v>503.79999999999802</v>
      </c>
      <c r="I172" s="1">
        <v>503.89999999999799</v>
      </c>
      <c r="J172" s="1">
        <v>503.99999999999801</v>
      </c>
    </row>
    <row r="173" spans="1:10" ht="20" customHeight="1" x14ac:dyDescent="0.3">
      <c r="A173" s="1">
        <v>171</v>
      </c>
      <c r="H173" s="1">
        <v>503.99999999999801</v>
      </c>
      <c r="I173" s="1">
        <v>504.09999999999798</v>
      </c>
      <c r="J173" s="1">
        <v>504.199999999998</v>
      </c>
    </row>
    <row r="174" spans="1:10" ht="20" customHeight="1" x14ac:dyDescent="0.3">
      <c r="A174" s="1">
        <v>172</v>
      </c>
      <c r="H174" s="1">
        <v>504.199999999998</v>
      </c>
      <c r="I174" s="1">
        <v>504.29999999999802</v>
      </c>
      <c r="J174" s="1">
        <v>504.39999999999799</v>
      </c>
    </row>
    <row r="175" spans="1:10" ht="20" customHeight="1" x14ac:dyDescent="0.3">
      <c r="A175" s="1">
        <v>173</v>
      </c>
      <c r="H175" s="1">
        <v>504.39999999999799</v>
      </c>
      <c r="I175" s="1">
        <v>504.49999999999801</v>
      </c>
      <c r="J175" s="1">
        <v>504.59999999999798</v>
      </c>
    </row>
    <row r="176" spans="1:10" ht="20" customHeight="1" x14ac:dyDescent="0.3">
      <c r="A176" s="1">
        <v>174</v>
      </c>
      <c r="H176" s="1">
        <v>504.59999999999798</v>
      </c>
      <c r="I176" s="1">
        <v>504.699999999998</v>
      </c>
      <c r="J176" s="1">
        <v>504.79999999999802</v>
      </c>
    </row>
    <row r="177" spans="1:10" ht="20" customHeight="1" x14ac:dyDescent="0.3">
      <c r="A177" s="1">
        <v>175</v>
      </c>
      <c r="H177" s="1">
        <v>504.79999999999802</v>
      </c>
      <c r="I177" s="1">
        <v>504.89999999999799</v>
      </c>
      <c r="J177" s="1">
        <v>504.99999999999801</v>
      </c>
    </row>
    <row r="178" spans="1:10" ht="20" customHeight="1" x14ac:dyDescent="0.3">
      <c r="A178" s="1">
        <v>176</v>
      </c>
      <c r="H178" s="1">
        <v>504.99999999999801</v>
      </c>
      <c r="I178" s="1">
        <v>505.09999999999798</v>
      </c>
      <c r="J178" s="1">
        <v>505.199999999998</v>
      </c>
    </row>
    <row r="179" spans="1:10" ht="20" customHeight="1" x14ac:dyDescent="0.3">
      <c r="A179" s="1">
        <v>177</v>
      </c>
      <c r="H179" s="1">
        <v>505.199999999998</v>
      </c>
      <c r="I179" s="1">
        <v>505.29999999999802</v>
      </c>
      <c r="J179" s="1">
        <v>505.39999999999799</v>
      </c>
    </row>
    <row r="180" spans="1:10" ht="20" customHeight="1" x14ac:dyDescent="0.3">
      <c r="A180" s="1">
        <v>178</v>
      </c>
      <c r="H180" s="1">
        <v>505.39999999999799</v>
      </c>
      <c r="I180" s="1">
        <v>505.49999999999801</v>
      </c>
      <c r="J180" s="1">
        <v>505.59999999999798</v>
      </c>
    </row>
    <row r="181" spans="1:10" ht="20" customHeight="1" x14ac:dyDescent="0.3">
      <c r="A181" s="1">
        <v>179</v>
      </c>
      <c r="H181" s="1">
        <v>505.59999999999798</v>
      </c>
      <c r="I181" s="1">
        <v>505.699999999998</v>
      </c>
      <c r="J181" s="1">
        <v>505.79999999999802</v>
      </c>
    </row>
    <row r="182" spans="1:10" ht="20" customHeight="1" x14ac:dyDescent="0.3">
      <c r="A182" s="1">
        <v>180</v>
      </c>
      <c r="H182" s="1">
        <v>505.79999999999802</v>
      </c>
      <c r="I182" s="1">
        <v>505.89999999999799</v>
      </c>
      <c r="J182" s="1">
        <v>505.99999999999801</v>
      </c>
    </row>
    <row r="183" spans="1:10" ht="20" customHeight="1" x14ac:dyDescent="0.3">
      <c r="A183" s="1">
        <v>181</v>
      </c>
      <c r="H183" s="1">
        <v>505.99999999999801</v>
      </c>
      <c r="I183" s="1">
        <v>506.09999999999798</v>
      </c>
      <c r="J183" s="1">
        <v>506.199999999998</v>
      </c>
    </row>
    <row r="184" spans="1:10" ht="20" customHeight="1" x14ac:dyDescent="0.3">
      <c r="A184" s="1">
        <v>182</v>
      </c>
      <c r="H184" s="1">
        <v>506.199999999998</v>
      </c>
      <c r="I184" s="1">
        <v>506.29999999999802</v>
      </c>
      <c r="J184" s="1">
        <v>506.39999999999799</v>
      </c>
    </row>
    <row r="185" spans="1:10" ht="20" customHeight="1" x14ac:dyDescent="0.3">
      <c r="A185" s="1">
        <v>183</v>
      </c>
      <c r="H185" s="1">
        <v>506.39999999999799</v>
      </c>
      <c r="I185" s="1">
        <v>506.49999999999801</v>
      </c>
      <c r="J185" s="1">
        <v>506.59999999999798</v>
      </c>
    </row>
    <row r="186" spans="1:10" ht="20" customHeight="1" x14ac:dyDescent="0.3">
      <c r="A186" s="1">
        <v>184</v>
      </c>
      <c r="H186" s="1">
        <v>506.59999999999798</v>
      </c>
      <c r="I186" s="1">
        <v>506.699999999998</v>
      </c>
      <c r="J186" s="1">
        <v>506.79999999999802</v>
      </c>
    </row>
    <row r="187" spans="1:10" ht="20" customHeight="1" x14ac:dyDescent="0.3">
      <c r="A187" s="1">
        <v>185</v>
      </c>
      <c r="H187" s="1">
        <v>506.79999999999802</v>
      </c>
      <c r="I187" s="1">
        <v>506.89999999999799</v>
      </c>
      <c r="J187" s="1">
        <v>506.99999999999801</v>
      </c>
    </row>
    <row r="188" spans="1:10" ht="20" customHeight="1" x14ac:dyDescent="0.3">
      <c r="A188" s="1">
        <v>186</v>
      </c>
      <c r="H188" s="1">
        <v>506.99999999999801</v>
      </c>
      <c r="I188" s="1">
        <v>507.09999999999798</v>
      </c>
      <c r="J188" s="1">
        <v>507.199999999998</v>
      </c>
    </row>
    <row r="189" spans="1:10" ht="20" customHeight="1" x14ac:dyDescent="0.3">
      <c r="A189" s="1">
        <v>187</v>
      </c>
      <c r="H189" s="1">
        <v>507.199999999998</v>
      </c>
      <c r="I189" s="1">
        <v>507.29999999999802</v>
      </c>
      <c r="J189" s="1">
        <v>507.39999999999799</v>
      </c>
    </row>
    <row r="190" spans="1:10" ht="20" customHeight="1" x14ac:dyDescent="0.3">
      <c r="A190" s="1">
        <v>188</v>
      </c>
      <c r="H190" s="1">
        <v>507.39999999999799</v>
      </c>
      <c r="I190" s="1">
        <v>507.49999999999801</v>
      </c>
      <c r="J190" s="1">
        <v>507.59999999999798</v>
      </c>
    </row>
    <row r="191" spans="1:10" ht="20" customHeight="1" x14ac:dyDescent="0.3">
      <c r="A191" s="1">
        <v>189</v>
      </c>
      <c r="H191" s="1">
        <v>507.59999999999798</v>
      </c>
      <c r="I191" s="1">
        <v>507.699999999998</v>
      </c>
      <c r="J191" s="1">
        <v>507.79999999999802</v>
      </c>
    </row>
    <row r="192" spans="1:10" ht="20" customHeight="1" x14ac:dyDescent="0.3">
      <c r="A192" s="1">
        <v>190</v>
      </c>
      <c r="H192" s="1">
        <v>507.79999999999802</v>
      </c>
      <c r="I192" s="1">
        <v>507.89999999999799</v>
      </c>
      <c r="J192" s="1">
        <v>507.99999999999801</v>
      </c>
    </row>
    <row r="193" spans="1:10" ht="20" customHeight="1" x14ac:dyDescent="0.3">
      <c r="A193" s="1">
        <v>191</v>
      </c>
      <c r="H193" s="1">
        <v>507.99999999999801</v>
      </c>
      <c r="I193" s="1">
        <v>508.09999999999798</v>
      </c>
      <c r="J193" s="1">
        <v>508.199999999998</v>
      </c>
    </row>
    <row r="194" spans="1:10" ht="20" customHeight="1" x14ac:dyDescent="0.3">
      <c r="A194" s="1">
        <v>192</v>
      </c>
      <c r="H194" s="1">
        <v>508.199999999998</v>
      </c>
      <c r="I194" s="1">
        <v>508.29999999999802</v>
      </c>
      <c r="J194" s="1">
        <v>508.39999999999799</v>
      </c>
    </row>
    <row r="195" spans="1:10" ht="20" customHeight="1" x14ac:dyDescent="0.3">
      <c r="A195" s="1">
        <v>193</v>
      </c>
      <c r="H195" s="1">
        <v>508.39999999999799</v>
      </c>
      <c r="I195" s="1">
        <v>508.49999999999801</v>
      </c>
      <c r="J195" s="1">
        <v>508.59999999999798</v>
      </c>
    </row>
    <row r="196" spans="1:10" ht="20" customHeight="1" x14ac:dyDescent="0.3">
      <c r="A196" s="1">
        <v>194</v>
      </c>
      <c r="H196" s="1">
        <v>508.59999999999798</v>
      </c>
      <c r="I196" s="1">
        <v>508.699999999998</v>
      </c>
      <c r="J196" s="1">
        <v>508.79999999999802</v>
      </c>
    </row>
    <row r="197" spans="1:10" ht="20" customHeight="1" x14ac:dyDescent="0.3">
      <c r="A197" s="1">
        <v>195</v>
      </c>
      <c r="H197" s="1">
        <v>508.79999999999802</v>
      </c>
      <c r="I197" s="1">
        <v>508.89999999999799</v>
      </c>
      <c r="J197" s="1">
        <v>508.99999999999801</v>
      </c>
    </row>
    <row r="198" spans="1:10" ht="20" customHeight="1" x14ac:dyDescent="0.3">
      <c r="A198" s="1">
        <v>196</v>
      </c>
      <c r="H198" s="1">
        <v>508.99999999999801</v>
      </c>
      <c r="I198" s="1">
        <v>509.09999999999798</v>
      </c>
      <c r="J198" s="1">
        <v>509.199999999998</v>
      </c>
    </row>
    <row r="199" spans="1:10" ht="20" customHeight="1" x14ac:dyDescent="0.3">
      <c r="A199" s="1">
        <v>197</v>
      </c>
      <c r="H199" s="1">
        <v>509.199999999998</v>
      </c>
      <c r="I199" s="1">
        <v>509.29999999999802</v>
      </c>
      <c r="J199" s="1">
        <v>509.39999999999799</v>
      </c>
    </row>
    <row r="200" spans="1:10" ht="20" customHeight="1" x14ac:dyDescent="0.3">
      <c r="A200" s="1">
        <v>198</v>
      </c>
      <c r="H200" s="1">
        <v>509.39999999999799</v>
      </c>
      <c r="I200" s="1">
        <v>509.49999999999801</v>
      </c>
      <c r="J200" s="1">
        <v>509.59999999999798</v>
      </c>
    </row>
    <row r="201" spans="1:10" ht="20" customHeight="1" x14ac:dyDescent="0.3">
      <c r="A201" s="1">
        <v>199</v>
      </c>
      <c r="H201" s="1">
        <v>509.59999999999798</v>
      </c>
      <c r="I201" s="1">
        <v>509.699999999998</v>
      </c>
      <c r="J201" s="1">
        <v>509.79999999999802</v>
      </c>
    </row>
    <row r="202" spans="1:10" ht="20" customHeight="1" x14ac:dyDescent="0.3">
      <c r="A202" s="16">
        <v>200</v>
      </c>
      <c r="H202" s="16">
        <v>509.79999999999802</v>
      </c>
      <c r="I202" s="16">
        <v>509.89999999999799</v>
      </c>
      <c r="J202" s="16">
        <v>509.99999999999801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6378-03CD-4F7E-BE55-1FBB7ABF8C74}">
  <dimension ref="B2:H19"/>
  <sheetViews>
    <sheetView zoomScaleNormal="100" workbookViewId="0">
      <selection activeCell="C38" sqref="C38"/>
    </sheetView>
  </sheetViews>
  <sheetFormatPr defaultColWidth="25.58203125" defaultRowHeight="20" customHeight="1" x14ac:dyDescent="0.3"/>
  <cols>
    <col min="1" max="5" width="15.58203125" style="1" customWidth="1"/>
    <col min="6" max="16384" width="25.58203125" style="1"/>
  </cols>
  <sheetData>
    <row r="2" spans="2:8" ht="20" customHeight="1" x14ac:dyDescent="0.3"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</row>
    <row r="3" spans="2:8" ht="20" customHeight="1" x14ac:dyDescent="0.3">
      <c r="B3" s="14">
        <v>0</v>
      </c>
      <c r="C3" s="14">
        <v>6</v>
      </c>
      <c r="D3" s="14">
        <v>1</v>
      </c>
      <c r="E3" s="15">
        <f>1/2</f>
        <v>0.5</v>
      </c>
      <c r="F3" s="17">
        <f>96*D3/C3*E3/1000/(0.00012288*(5/4))</f>
        <v>52.083333333333336</v>
      </c>
      <c r="G3" s="17">
        <f>48*D3/C3*E3/1000/(0.00012288*(5/4))</f>
        <v>26.041666666666668</v>
      </c>
      <c r="H3" s="17">
        <f>18*D3/C3*E3/1000/(0.00012288*(5/4))</f>
        <v>9.765625</v>
      </c>
    </row>
    <row r="4" spans="2:8" ht="20" customHeight="1" x14ac:dyDescent="0.3">
      <c r="B4" s="14">
        <v>1</v>
      </c>
      <c r="C4" s="14">
        <v>4</v>
      </c>
      <c r="D4" s="14">
        <v>1</v>
      </c>
      <c r="E4" s="15">
        <f t="shared" ref="E4:E8" si="0">1/2</f>
        <v>0.5</v>
      </c>
      <c r="F4" s="17">
        <f t="shared" ref="F4:F9" si="1">96*D4/C4*E4/1000/(0.00012288*(5/4))</f>
        <v>78.125</v>
      </c>
      <c r="G4" s="17">
        <f t="shared" ref="G4:G9" si="2">48*D4/C4*E4/1000/(0.00012288*(5/4))</f>
        <v>39.0625</v>
      </c>
      <c r="H4" s="17">
        <f t="shared" ref="H4:H9" si="3">18*D4/C4*E4/1000/(0.00012288*(5/4))</f>
        <v>14.6484375</v>
      </c>
    </row>
    <row r="5" spans="2:8" ht="20" customHeight="1" x14ac:dyDescent="0.3">
      <c r="B5" s="14">
        <v>2</v>
      </c>
      <c r="C5" s="14">
        <v>3</v>
      </c>
      <c r="D5" s="14">
        <v>1</v>
      </c>
      <c r="E5" s="15">
        <f t="shared" si="0"/>
        <v>0.5</v>
      </c>
      <c r="F5" s="17">
        <f t="shared" si="1"/>
        <v>104.16666666666667</v>
      </c>
      <c r="G5" s="17">
        <f t="shared" si="2"/>
        <v>52.083333333333336</v>
      </c>
      <c r="H5" s="17">
        <f t="shared" si="3"/>
        <v>19.53125</v>
      </c>
    </row>
    <row r="6" spans="2:8" ht="20" customHeight="1" x14ac:dyDescent="0.3">
      <c r="B6" s="14">
        <v>3</v>
      </c>
      <c r="C6" s="14">
        <v>2</v>
      </c>
      <c r="D6" s="14">
        <v>1</v>
      </c>
      <c r="E6" s="15">
        <f t="shared" si="0"/>
        <v>0.5</v>
      </c>
      <c r="F6" s="17">
        <f t="shared" si="1"/>
        <v>156.25</v>
      </c>
      <c r="G6" s="17">
        <f t="shared" si="2"/>
        <v>78.125</v>
      </c>
      <c r="H6" s="17">
        <f t="shared" si="3"/>
        <v>29.296875</v>
      </c>
    </row>
    <row r="7" spans="2:8" ht="20" customHeight="1" x14ac:dyDescent="0.3">
      <c r="B7" s="14">
        <v>4</v>
      </c>
      <c r="C7" s="14">
        <v>2</v>
      </c>
      <c r="D7" s="14">
        <v>2</v>
      </c>
      <c r="E7" s="15">
        <f t="shared" si="0"/>
        <v>0.5</v>
      </c>
      <c r="F7" s="17">
        <f t="shared" si="1"/>
        <v>312.5</v>
      </c>
      <c r="G7" s="17">
        <f t="shared" si="2"/>
        <v>156.25</v>
      </c>
      <c r="H7" s="17">
        <f t="shared" si="3"/>
        <v>58.59375</v>
      </c>
    </row>
    <row r="8" spans="2:8" ht="20" customHeight="1" x14ac:dyDescent="0.3">
      <c r="B8" s="14">
        <v>5</v>
      </c>
      <c r="C8" s="14">
        <v>1</v>
      </c>
      <c r="D8" s="14">
        <v>2</v>
      </c>
      <c r="E8" s="15">
        <f t="shared" si="0"/>
        <v>0.5</v>
      </c>
      <c r="F8" s="17">
        <f t="shared" si="1"/>
        <v>625</v>
      </c>
      <c r="G8" s="17">
        <f t="shared" si="2"/>
        <v>312.5</v>
      </c>
      <c r="H8" s="17">
        <f t="shared" si="3"/>
        <v>117.1875</v>
      </c>
    </row>
    <row r="9" spans="2:8" ht="20" customHeight="1" x14ac:dyDescent="0.3">
      <c r="B9" s="14">
        <v>6</v>
      </c>
      <c r="C9" s="14">
        <v>1</v>
      </c>
      <c r="D9" s="14">
        <v>2</v>
      </c>
      <c r="E9" s="15">
        <f>4/5</f>
        <v>0.8</v>
      </c>
      <c r="F9" s="17">
        <f t="shared" si="1"/>
        <v>1000.0000000000001</v>
      </c>
      <c r="G9" s="17">
        <f t="shared" si="2"/>
        <v>500.00000000000006</v>
      </c>
      <c r="H9" s="17">
        <f t="shared" si="3"/>
        <v>187.5</v>
      </c>
    </row>
    <row r="12" spans="2:8" ht="20" customHeight="1" x14ac:dyDescent="0.3">
      <c r="B12" s="11" t="s">
        <v>44</v>
      </c>
      <c r="C12" s="11" t="s">
        <v>38</v>
      </c>
      <c r="D12" s="11" t="s">
        <v>39</v>
      </c>
      <c r="E12" s="11" t="s">
        <v>40</v>
      </c>
      <c r="F12" s="11" t="s">
        <v>41</v>
      </c>
      <c r="G12" s="11" t="s">
        <v>42</v>
      </c>
      <c r="H12" s="11" t="s">
        <v>43</v>
      </c>
    </row>
    <row r="13" spans="2:8" ht="20" customHeight="1" x14ac:dyDescent="0.3">
      <c r="B13" s="14">
        <v>0</v>
      </c>
      <c r="C13" s="14">
        <v>4</v>
      </c>
      <c r="D13" s="14">
        <v>1</v>
      </c>
      <c r="E13" s="15">
        <f>1/2</f>
        <v>0.5</v>
      </c>
      <c r="F13" s="17">
        <f>96*D13/C13*E13/1000/(0.00012288*(5/4))</f>
        <v>78.125</v>
      </c>
      <c r="G13" s="17">
        <f>48*D13/C13*E13/1000/(0.00012288*(5/4))</f>
        <v>39.0625</v>
      </c>
      <c r="H13" s="17">
        <f>18*D13/C13*E13/1000/(0.00012288*(5/4))</f>
        <v>14.6484375</v>
      </c>
    </row>
    <row r="14" spans="2:8" ht="20" customHeight="1" x14ac:dyDescent="0.3">
      <c r="B14" s="14">
        <v>1</v>
      </c>
      <c r="C14" s="14">
        <v>2</v>
      </c>
      <c r="D14" s="14">
        <v>1</v>
      </c>
      <c r="E14" s="15">
        <f t="shared" ref="E14:E18" si="4">1/2</f>
        <v>0.5</v>
      </c>
      <c r="F14" s="17">
        <f t="shared" ref="F14:F19" si="5">96*D14/C14*E14/1000/(0.00012288*(5/4))</f>
        <v>156.25</v>
      </c>
      <c r="G14" s="17">
        <f t="shared" ref="G14:G19" si="6">48*D14/C14*E14/1000/(0.00012288*(5/4))</f>
        <v>78.125</v>
      </c>
      <c r="H14" s="17">
        <f t="shared" ref="H14:H19" si="7">18*D14/C14*E14/1000/(0.00012288*(5/4))</f>
        <v>29.296875</v>
      </c>
    </row>
    <row r="15" spans="2:8" ht="20" customHeight="1" x14ac:dyDescent="0.3">
      <c r="B15" s="14">
        <v>2</v>
      </c>
      <c r="C15" s="14">
        <v>2</v>
      </c>
      <c r="D15" s="14">
        <v>2</v>
      </c>
      <c r="E15" s="15">
        <f t="shared" si="4"/>
        <v>0.5</v>
      </c>
      <c r="F15" s="17">
        <f t="shared" si="5"/>
        <v>312.5</v>
      </c>
      <c r="G15" s="17">
        <f t="shared" si="6"/>
        <v>156.25</v>
      </c>
      <c r="H15" s="17">
        <f t="shared" si="7"/>
        <v>58.59375</v>
      </c>
    </row>
    <row r="16" spans="2:8" ht="20" customHeight="1" x14ac:dyDescent="0.3">
      <c r="B16" s="14">
        <v>3</v>
      </c>
      <c r="C16" s="14">
        <v>1</v>
      </c>
      <c r="D16" s="14">
        <v>2</v>
      </c>
      <c r="E16" s="15">
        <f t="shared" si="4"/>
        <v>0.5</v>
      </c>
      <c r="F16" s="17">
        <f t="shared" si="5"/>
        <v>625</v>
      </c>
      <c r="G16" s="17">
        <f t="shared" si="6"/>
        <v>312.5</v>
      </c>
      <c r="H16" s="17">
        <f t="shared" si="7"/>
        <v>117.1875</v>
      </c>
    </row>
    <row r="17" spans="2:8" ht="20" customHeight="1" x14ac:dyDescent="0.3">
      <c r="B17" s="14">
        <v>4</v>
      </c>
      <c r="C17" s="14">
        <v>1</v>
      </c>
      <c r="D17" s="14">
        <v>2</v>
      </c>
      <c r="E17" s="15">
        <f>4/5</f>
        <v>0.8</v>
      </c>
      <c r="F17" s="17">
        <f t="shared" si="5"/>
        <v>1000.0000000000001</v>
      </c>
      <c r="G17" s="17">
        <f t="shared" si="6"/>
        <v>500.00000000000006</v>
      </c>
      <c r="H17" s="17">
        <f t="shared" si="7"/>
        <v>187.5</v>
      </c>
    </row>
    <row r="18" spans="2:8" ht="20" customHeight="1" x14ac:dyDescent="0.3">
      <c r="B18" s="14">
        <v>5</v>
      </c>
      <c r="C18" s="14">
        <v>1</v>
      </c>
      <c r="D18" s="14">
        <v>4</v>
      </c>
      <c r="E18" s="15">
        <f t="shared" si="4"/>
        <v>0.5</v>
      </c>
      <c r="F18" s="17">
        <f t="shared" si="5"/>
        <v>1250</v>
      </c>
      <c r="G18" s="17">
        <f t="shared" si="6"/>
        <v>625</v>
      </c>
      <c r="H18" s="17">
        <f t="shared" si="7"/>
        <v>234.375</v>
      </c>
    </row>
    <row r="19" spans="2:8" ht="20" customHeight="1" x14ac:dyDescent="0.3">
      <c r="B19" s="14">
        <v>6</v>
      </c>
      <c r="C19" s="14">
        <v>1</v>
      </c>
      <c r="D19" s="14">
        <v>4</v>
      </c>
      <c r="E19" s="15">
        <f>4/5</f>
        <v>0.8</v>
      </c>
      <c r="F19" s="17">
        <f t="shared" si="5"/>
        <v>2000.0000000000002</v>
      </c>
      <c r="G19" s="17">
        <f t="shared" si="6"/>
        <v>1000.0000000000001</v>
      </c>
      <c r="H19" s="17">
        <f t="shared" si="7"/>
        <v>375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22E9-6C7B-4D31-9D8E-E4FC5ECD3A21}">
  <dimension ref="B2:I18"/>
  <sheetViews>
    <sheetView zoomScaleNormal="100" workbookViewId="0">
      <selection activeCell="D39" sqref="D39"/>
    </sheetView>
  </sheetViews>
  <sheetFormatPr defaultColWidth="25.58203125" defaultRowHeight="20" customHeight="1" x14ac:dyDescent="0.3"/>
  <cols>
    <col min="1" max="1" width="25.58203125" style="1"/>
    <col min="2" max="6" width="15.58203125" style="1" customWidth="1"/>
    <col min="7" max="8" width="35.58203125" style="1" customWidth="1"/>
    <col min="9" max="12" width="25.58203125" style="1"/>
    <col min="13" max="13" width="30.58203125" style="1" customWidth="1"/>
    <col min="14" max="16384" width="25.58203125" style="1"/>
  </cols>
  <sheetData>
    <row r="2" spans="2:9" ht="20" customHeight="1" x14ac:dyDescent="0.3">
      <c r="B2" s="11" t="s">
        <v>37</v>
      </c>
      <c r="C2" s="11" t="s">
        <v>38</v>
      </c>
      <c r="D2" s="11" t="s">
        <v>49</v>
      </c>
      <c r="E2" s="11" t="s">
        <v>39</v>
      </c>
      <c r="F2" s="11" t="s">
        <v>40</v>
      </c>
      <c r="G2" s="11" t="s">
        <v>52</v>
      </c>
      <c r="H2" s="11" t="s">
        <v>53</v>
      </c>
      <c r="I2" s="11" t="s">
        <v>50</v>
      </c>
    </row>
    <row r="3" spans="2:9" ht="20" customHeight="1" x14ac:dyDescent="0.3">
      <c r="B3" s="11">
        <v>0</v>
      </c>
      <c r="C3" s="11">
        <v>6</v>
      </c>
      <c r="D3" s="14">
        <f>10*LOG10(C3)</f>
        <v>7.7815125038364368</v>
      </c>
      <c r="E3" s="11">
        <v>1</v>
      </c>
      <c r="F3" s="15">
        <f>1/2</f>
        <v>0.5</v>
      </c>
      <c r="G3" s="11">
        <v>2</v>
      </c>
      <c r="H3" s="14">
        <f>G3+10*LOG10(F3*E3)</f>
        <v>-1.0102999566398121</v>
      </c>
      <c r="I3" s="14">
        <f>H3-D3</f>
        <v>-8.7918124604762493</v>
      </c>
    </row>
    <row r="4" spans="2:9" ht="20" customHeight="1" x14ac:dyDescent="0.3">
      <c r="B4" s="11">
        <v>1</v>
      </c>
      <c r="C4" s="11">
        <v>4</v>
      </c>
      <c r="D4" s="14">
        <f t="shared" ref="D4:D9" si="0">10*LOG10(C4)</f>
        <v>6.0205999132796242</v>
      </c>
      <c r="E4" s="11">
        <v>1</v>
      </c>
      <c r="F4" s="15">
        <f t="shared" ref="F4:F8" si="1">1/2</f>
        <v>0.5</v>
      </c>
      <c r="G4" s="11">
        <v>2</v>
      </c>
      <c r="H4" s="14">
        <f t="shared" ref="H4:H9" si="2">G4+10*LOG10(F4*E4)</f>
        <v>-1.0102999566398121</v>
      </c>
      <c r="I4" s="14">
        <f t="shared" ref="I4:I9" si="3">H4-D4</f>
        <v>-7.0308998699194358</v>
      </c>
    </row>
    <row r="5" spans="2:9" ht="20" customHeight="1" x14ac:dyDescent="0.3">
      <c r="B5" s="11">
        <v>2</v>
      </c>
      <c r="C5" s="11">
        <v>3</v>
      </c>
      <c r="D5" s="14">
        <f t="shared" si="0"/>
        <v>4.7712125471966242</v>
      </c>
      <c r="E5" s="11">
        <v>1</v>
      </c>
      <c r="F5" s="15">
        <f t="shared" si="1"/>
        <v>0.5</v>
      </c>
      <c r="G5" s="11">
        <v>2</v>
      </c>
      <c r="H5" s="14">
        <f t="shared" si="2"/>
        <v>-1.0102999566398121</v>
      </c>
      <c r="I5" s="14">
        <f t="shared" si="3"/>
        <v>-5.7815125038364368</v>
      </c>
    </row>
    <row r="6" spans="2:9" ht="20" customHeight="1" x14ac:dyDescent="0.3">
      <c r="B6" s="11">
        <v>3</v>
      </c>
      <c r="C6" s="11">
        <v>2</v>
      </c>
      <c r="D6" s="14">
        <f t="shared" si="0"/>
        <v>3.0102999566398121</v>
      </c>
      <c r="E6" s="11">
        <v>1</v>
      </c>
      <c r="F6" s="15">
        <f t="shared" si="1"/>
        <v>0.5</v>
      </c>
      <c r="G6" s="11">
        <v>2</v>
      </c>
      <c r="H6" s="14">
        <f t="shared" si="2"/>
        <v>-1.0102999566398121</v>
      </c>
      <c r="I6" s="14">
        <f t="shared" si="3"/>
        <v>-4.0205999132796242</v>
      </c>
    </row>
    <row r="7" spans="2:9" ht="20" customHeight="1" x14ac:dyDescent="0.3">
      <c r="B7" s="11">
        <v>4</v>
      </c>
      <c r="C7" s="11">
        <v>2</v>
      </c>
      <c r="D7" s="14">
        <f t="shared" si="0"/>
        <v>3.0102999566398121</v>
      </c>
      <c r="E7" s="11">
        <v>2</v>
      </c>
      <c r="F7" s="15">
        <f t="shared" si="1"/>
        <v>0.5</v>
      </c>
      <c r="G7" s="11">
        <v>2</v>
      </c>
      <c r="H7" s="14">
        <f t="shared" si="2"/>
        <v>2</v>
      </c>
      <c r="I7" s="14">
        <f t="shared" si="3"/>
        <v>-1.0102999566398121</v>
      </c>
    </row>
    <row r="8" spans="2:9" ht="20" customHeight="1" x14ac:dyDescent="0.3">
      <c r="B8" s="11">
        <v>5</v>
      </c>
      <c r="C8" s="11">
        <v>1</v>
      </c>
      <c r="D8" s="14">
        <f t="shared" si="0"/>
        <v>0</v>
      </c>
      <c r="E8" s="11">
        <v>2</v>
      </c>
      <c r="F8" s="15">
        <f t="shared" si="1"/>
        <v>0.5</v>
      </c>
      <c r="G8" s="11">
        <v>2</v>
      </c>
      <c r="H8" s="14">
        <f t="shared" si="2"/>
        <v>2</v>
      </c>
      <c r="I8" s="14">
        <f t="shared" si="3"/>
        <v>2</v>
      </c>
    </row>
    <row r="9" spans="2:9" ht="20" customHeight="1" x14ac:dyDescent="0.3">
      <c r="B9" s="11">
        <v>6</v>
      </c>
      <c r="C9" s="11">
        <v>1</v>
      </c>
      <c r="D9" s="14">
        <f t="shared" si="0"/>
        <v>0</v>
      </c>
      <c r="E9" s="11">
        <v>2</v>
      </c>
      <c r="F9" s="15">
        <f>4/5</f>
        <v>0.8</v>
      </c>
      <c r="G9" s="11">
        <v>2</v>
      </c>
      <c r="H9" s="14">
        <f t="shared" si="2"/>
        <v>4.0411998265592484</v>
      </c>
      <c r="I9" s="14">
        <f t="shared" si="3"/>
        <v>4.0411998265592484</v>
      </c>
    </row>
    <row r="11" spans="2:9" ht="20" customHeight="1" x14ac:dyDescent="0.3">
      <c r="B11" s="11" t="s">
        <v>44</v>
      </c>
      <c r="C11" s="11" t="s">
        <v>38</v>
      </c>
      <c r="D11" s="11" t="s">
        <v>49</v>
      </c>
      <c r="E11" s="11" t="s">
        <v>39</v>
      </c>
      <c r="F11" s="11" t="s">
        <v>40</v>
      </c>
      <c r="G11" s="11" t="s">
        <v>52</v>
      </c>
      <c r="H11" s="11" t="s">
        <v>53</v>
      </c>
      <c r="I11" s="11" t="s">
        <v>51</v>
      </c>
    </row>
    <row r="12" spans="2:9" ht="20" customHeight="1" x14ac:dyDescent="0.3">
      <c r="B12" s="14">
        <v>0</v>
      </c>
      <c r="C12" s="14">
        <v>4</v>
      </c>
      <c r="D12" s="14">
        <f>10*LOG10(C12)</f>
        <v>6.0205999132796242</v>
      </c>
      <c r="E12" s="14">
        <v>1</v>
      </c>
      <c r="F12" s="15">
        <f>1/2</f>
        <v>0.5</v>
      </c>
      <c r="G12" s="14">
        <v>2</v>
      </c>
      <c r="H12" s="14">
        <f>G12+10*LOG10(F12*E12)</f>
        <v>-1.0102999566398121</v>
      </c>
      <c r="I12" s="14">
        <f>H12-D12</f>
        <v>-7.0308998699194358</v>
      </c>
    </row>
    <row r="13" spans="2:9" ht="20" customHeight="1" x14ac:dyDescent="0.3">
      <c r="B13" s="14">
        <v>1</v>
      </c>
      <c r="C13" s="14">
        <v>2</v>
      </c>
      <c r="D13" s="14">
        <f t="shared" ref="D13:D18" si="4">10*LOG10(C13)</f>
        <v>3.0102999566398121</v>
      </c>
      <c r="E13" s="14">
        <v>1</v>
      </c>
      <c r="F13" s="15">
        <f t="shared" ref="F13:F15" si="5">1/2</f>
        <v>0.5</v>
      </c>
      <c r="G13" s="14">
        <v>2</v>
      </c>
      <c r="H13" s="14">
        <f t="shared" ref="H13:H18" si="6">G13+10*LOG10(F13*E13)</f>
        <v>-1.0102999566398121</v>
      </c>
      <c r="I13" s="14">
        <f>H13-D13</f>
        <v>-4.0205999132796242</v>
      </c>
    </row>
    <row r="14" spans="2:9" ht="20" customHeight="1" x14ac:dyDescent="0.3">
      <c r="B14" s="14">
        <v>2</v>
      </c>
      <c r="C14" s="14">
        <v>2</v>
      </c>
      <c r="D14" s="14">
        <f t="shared" si="4"/>
        <v>3.0102999566398121</v>
      </c>
      <c r="E14" s="14">
        <v>2</v>
      </c>
      <c r="F14" s="15">
        <f t="shared" si="5"/>
        <v>0.5</v>
      </c>
      <c r="G14" s="14">
        <v>2</v>
      </c>
      <c r="H14" s="14">
        <f t="shared" si="6"/>
        <v>2</v>
      </c>
      <c r="I14" s="14">
        <f>H14-D14</f>
        <v>-1.0102999566398121</v>
      </c>
    </row>
    <row r="15" spans="2:9" ht="20" customHeight="1" x14ac:dyDescent="0.3">
      <c r="B15" s="14">
        <v>3</v>
      </c>
      <c r="C15" s="14">
        <v>1</v>
      </c>
      <c r="D15" s="14">
        <f t="shared" si="4"/>
        <v>0</v>
      </c>
      <c r="E15" s="14">
        <v>2</v>
      </c>
      <c r="F15" s="15">
        <f t="shared" si="5"/>
        <v>0.5</v>
      </c>
      <c r="G15" s="14">
        <v>2</v>
      </c>
      <c r="H15" s="14">
        <f t="shared" si="6"/>
        <v>2</v>
      </c>
      <c r="I15" s="14">
        <f>H15-D15</f>
        <v>2</v>
      </c>
    </row>
    <row r="16" spans="2:9" ht="20" customHeight="1" x14ac:dyDescent="0.3">
      <c r="B16" s="14">
        <v>4</v>
      </c>
      <c r="C16" s="14">
        <v>1</v>
      </c>
      <c r="D16" s="14">
        <f t="shared" si="4"/>
        <v>0</v>
      </c>
      <c r="E16" s="14">
        <v>2</v>
      </c>
      <c r="F16" s="15">
        <f>4/5</f>
        <v>0.8</v>
      </c>
      <c r="G16" s="14">
        <v>3</v>
      </c>
      <c r="H16" s="14">
        <f t="shared" si="6"/>
        <v>5.0411998265592484</v>
      </c>
      <c r="I16" s="14">
        <f t="shared" ref="I16:I18" si="7">H16-D16</f>
        <v>5.0411998265592484</v>
      </c>
    </row>
    <row r="17" spans="2:9" ht="20" customHeight="1" x14ac:dyDescent="0.3">
      <c r="B17" s="14">
        <v>5</v>
      </c>
      <c r="C17" s="14">
        <v>1</v>
      </c>
      <c r="D17" s="14">
        <f t="shared" si="4"/>
        <v>0</v>
      </c>
      <c r="E17" s="14">
        <v>4</v>
      </c>
      <c r="F17" s="15">
        <f t="shared" ref="F17" si="8">1/2</f>
        <v>0.5</v>
      </c>
      <c r="G17" s="14">
        <v>5</v>
      </c>
      <c r="H17" s="14">
        <f t="shared" si="6"/>
        <v>8.0102999566398125</v>
      </c>
      <c r="I17" s="14">
        <f t="shared" si="7"/>
        <v>8.0102999566398125</v>
      </c>
    </row>
    <row r="18" spans="2:9" ht="20" customHeight="1" x14ac:dyDescent="0.3">
      <c r="B18" s="14">
        <v>6</v>
      </c>
      <c r="C18" s="14">
        <v>1</v>
      </c>
      <c r="D18" s="14">
        <f t="shared" si="4"/>
        <v>0</v>
      </c>
      <c r="E18" s="14">
        <v>4</v>
      </c>
      <c r="F18" s="15">
        <f>4/5</f>
        <v>0.8</v>
      </c>
      <c r="G18" s="14">
        <v>6</v>
      </c>
      <c r="H18" s="14">
        <f t="shared" si="6"/>
        <v>11.051499783199061</v>
      </c>
      <c r="I18" s="14">
        <f t="shared" si="7"/>
        <v>11.051499783199061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国网小无线参数</vt:lpstr>
      <vt:lpstr>IEEE 802.11 agn物理层参数</vt:lpstr>
      <vt:lpstr>IEEE 802.11 agn物理层数据速率</vt:lpstr>
      <vt:lpstr>信道划分</vt:lpstr>
      <vt:lpstr>PHR和PSDU的数据速率</vt:lpstr>
      <vt:lpstr>性能限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李心安</dc:creator>
  <cp:lastModifiedBy>心安 李</cp:lastModifiedBy>
  <dcterms:created xsi:type="dcterms:W3CDTF">2015-06-05T18:19:34Z</dcterms:created>
  <dcterms:modified xsi:type="dcterms:W3CDTF">2026-09-21T02:58:01Z</dcterms:modified>
</cp:coreProperties>
</file>